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🗓 Gantt MVP" sheetId="1" state="visible" r:id="rId3"/>
    <sheet name="📋 Backlog détaillé" sheetId="2" state="visible" r:id="rId4"/>
    <sheet name="💰 Jalons &amp; Budg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<sst xmlns="http://schemas.openxmlformats.org/spreadsheetml/2006/main" count="540" uniqueCount="239">
  <si>
    <t xml:space="preserve">Project K — Roadmap MVP  (Lot 1)</t>
  </si>
  <si>
    <t xml:space="preserve">6 semaines · 70 heures · 2 800 €</t>
  </si>
  <si>
    <t xml:space="preserve">📌  Date de démarrage :</t>
  </si>
  <si>
    <t xml:space="preserve">Module</t>
  </si>
  <si>
    <t xml:space="preserve">Tâche</t>
  </si>
  <si>
    <t xml:space="preserve">h</t>
  </si>
  <si>
    <t xml:space="preserve">Sem. 1</t>
  </si>
  <si>
    <t xml:space="preserve">Sem. 2</t>
  </si>
  <si>
    <t xml:space="preserve">Sem. 3</t>
  </si>
  <si>
    <t xml:space="preserve">Sem. 4</t>
  </si>
  <si>
    <t xml:space="preserve">Sem. 5</t>
  </si>
  <si>
    <t xml:space="preserve">Sem. 6</t>
  </si>
  <si>
    <t xml:space="preserve">Statut</t>
  </si>
  <si>
    <t xml:space="preserve">Priorité</t>
  </si>
  <si>
    <t xml:space="preserve">Notes / Dépendances</t>
  </si>
  <si>
    <t xml:space="preserve">  🔧 Setup technique     ── 7h</t>
  </si>
  <si>
    <t xml:space="preserve">Setup</t>
  </si>
  <si>
    <t xml:space="preserve">⚡ Init projet Next.js</t>
  </si>
  <si>
    <t xml:space="preserve">1.0h</t>
  </si>
  <si>
    <t xml:space="preserve">À faire</t>
  </si>
  <si>
    <t xml:space="preserve">Critique</t>
  </si>
  <si>
    <t xml:space="preserve">Next.js 14 + TypeScript + Tailwind CSS + App Router</t>
  </si>
  <si>
    <t xml:space="preserve">⚡ Supabase Auth + RLS</t>
  </si>
  <si>
    <t xml:space="preserve">1.5h</t>
  </si>
  <si>
    <t xml:space="preserve">Email / magic link, Row Level Security par athlète
→ Base de sécurité M1 &amp; M2</t>
  </si>
  <si>
    <t xml:space="preserve">Railway + domaine + SSL</t>
  </si>
  <si>
    <t xml:space="preserve">Déploiement prod, certificat auto, config DNS</t>
  </si>
  <si>
    <t xml:space="preserve">⚡ CI/CD GitHub Actions</t>
  </si>
  <si>
    <t xml:space="preserve">Haute</t>
  </si>
  <si>
    <t xml:space="preserve">Lint + tests + deploy automatique sur merge main</t>
  </si>
  <si>
    <t xml:space="preserve">Config .env prod + secrets</t>
  </si>
  <si>
    <t xml:space="preserve">Vars Supabase, Nolio, Railway côté production</t>
  </si>
  <si>
    <t xml:space="preserve">  📊 Module 1 — Dashboard coach (migration Retool++)     ── 20h</t>
  </si>
  <si>
    <t xml:space="preserve">Module 1</t>
  </si>
  <si>
    <t xml:space="preserve">⚡ Layout + navigation</t>
  </si>
  <si>
    <t xml:space="preserve">Shell app : sidebar, routing, auth guards
→ Socle partagé M1 &amp; M2</t>
  </si>
  <si>
    <t xml:space="preserve">⚡ Table des activités</t>
  </si>
  <si>
    <t xml:space="preserve">4.0h</t>
  </si>
  <si>
    <t xml:space="preserve">Filtres athlète / sport / date — édition manuelle intervalles
→ Migration 1:1 depuis Retool</t>
  </si>
  <si>
    <t xml:space="preserve">⚡ Vue Santé (HRV)</t>
  </si>
  <si>
    <t xml:space="preserve">3.0h</t>
  </si>
  <si>
    <t xml:space="preserve">LnRMSSD + FC repos + import CSV HRV 4 Training (endpoint Nolio futur)
→ Source temporaire CSV</t>
  </si>
  <si>
    <t xml:space="preserve">⚡ Profils Physio (SCD2)</t>
  </si>
  <si>
    <t xml:space="preserve">2.0h</t>
  </si>
  <si>
    <t xml:space="preserve">LT1/LT2/CP historique versionné — substit. CP/CS dans MLS si LT absent
→ SCD Type 2 = pas d'écrasement</t>
  </si>
  <si>
    <t xml:space="preserve">⚡ Heatmap de charge flotte</t>
  </si>
  <si>
    <t xml:space="preserve">Tous athlètes × semaines, colorée vert → rouge (charge MLS)
→ Vue macro pour le coach</t>
  </si>
  <si>
    <t xml:space="preserve">Bouton Reprocess</t>
  </si>
  <si>
    <t xml:space="preserve">Moyenne</t>
  </si>
  <si>
    <t xml:space="preserve">Déclenche recalcul séance — appel run_k.py reprocess via API</t>
  </si>
  <si>
    <t xml:space="preserve">⚡ Gestion utilisateurs</t>
  </si>
  <si>
    <t xml:space="preserve">5.0h</t>
  </si>
  <si>
    <t xml:space="preserve">Invitation e-mail, groupes (élite / loisir), désactivation / suppression</t>
  </si>
  <si>
    <t xml:space="preserve">  👤 Module 2 — Espace athlète     ── 28h</t>
  </si>
  <si>
    <t xml:space="preserve">Module 2</t>
  </si>
  <si>
    <t xml:space="preserve">⚡ Auth multi-rôles</t>
  </si>
  <si>
    <t xml:space="preserve">Coach vs athlète — RLS Supabase, redirect automatique par rôle
→ Dépend : Setup Auth</t>
  </si>
  <si>
    <t xml:space="preserve">⚡ Vue calendrier</t>
  </si>
  <si>
    <t xml:space="preserve">2.5h</t>
  </si>
  <si>
    <t xml:space="preserve">Semaine / Mois / Année défilable — clic séance → fiche détail</t>
  </si>
  <si>
    <t xml:space="preserve">Filtres de séances</t>
  </si>
  <si>
    <t xml:space="preserve">Sport, durée min., type (endurance / intervalles / tempo / compétition)</t>
  </si>
  <si>
    <t xml:space="preserve">⚡ Fiche séance</t>
  </si>
  <si>
    <t xml:space="preserve">Graphique découplage, intervalles (valeur moy. &amp; dernière), métriques clés
→ Cœur de la valeur athlète</t>
  </si>
  <si>
    <t xml:space="preserve">Commentaire coach</t>
  </si>
  <si>
    <t xml:space="preserve">Texte libre par séance, visible par l'athlète</t>
  </si>
  <si>
    <t xml:space="preserve">Feedback athlète</t>
  </si>
  <si>
    <t xml:space="preserve">Ressenti / réponse athlète visible par le coach</t>
  </si>
  <si>
    <t xml:space="preserve">⚡ Vue Santé athlète</t>
  </si>
  <si>
    <t xml:space="preserve">Tendances HRV personnelles (données HRV 4 Training)</t>
  </si>
  <si>
    <t xml:space="preserve">⚡ Tests + polish UI</t>
  </si>
  <si>
    <t xml:space="preserve">6.0h</t>
  </si>
  <si>
    <t xml:space="preserve">Responsive, tests E2E multi-rôles, corrections visuelles &amp; perf</t>
  </si>
  <si>
    <t xml:space="preserve">  📅 Module 3 — Fiches semaine &amp; mois     ── 15h</t>
  </si>
  <si>
    <t xml:space="preserve">Module 3</t>
  </si>
  <si>
    <t xml:space="preserve">⚡ KPIs automatiques</t>
  </si>
  <si>
    <t xml:space="preserve">km, heures, nb séances, répartition par sport (semaine &amp; mois)</t>
  </si>
  <si>
    <t xml:space="preserve">⚡ Heatmap calendrier 7j</t>
  </si>
  <si>
    <t xml:space="preserve">Couleur par intensité de charge, distribution effort visuelle</t>
  </si>
  <si>
    <t xml:space="preserve">⚡ ACWR charge aiguë / chronique</t>
  </si>
  <si>
    <t xml:space="preserve">Alerte si &gt;1,5× — charge externe + interne + globale MLS</t>
  </si>
  <si>
    <t xml:space="preserve">⚡ Suivi HRV (LnRMSSD + SWC)</t>
  </si>
  <si>
    <t xml:space="preserve">Import CSV + SWC 28j + signal Hausse/Dégradation (algo Karoly)
→ ⚠️ Algo signal à recevoir de Karoly</t>
  </si>
  <si>
    <t xml:space="preserve">⚡ Analyses textuelles (règles)</t>
  </si>
  <si>
    <t xml:space="preserve">Durabilité moy., comparaison vs période préc., alertes dérive &gt;5%</t>
  </si>
  <si>
    <t xml:space="preserve">Encart Focus Coach</t>
  </si>
  <si>
    <t xml:space="preserve">0.5h</t>
  </si>
  <si>
    <t xml:space="preserve">Apparaît si dérive cardiaque anormale détectée sur la période</t>
  </si>
  <si>
    <t xml:space="preserve">⚡ Export PDF</t>
  </si>
  <si>
    <t xml:space="preserve">Fiche propre logo KS Endurance, partageable athlète / sponsor</t>
  </si>
  <si>
    <t xml:space="preserve">Intégration coach + athlète</t>
  </si>
  <si>
    <t xml:space="preserve">Fiches accessibles des deux côtés — tests globaux fin de sprint</t>
  </si>
  <si>
    <t xml:space="preserve">  🚀 Livraison &amp; recette     ── 7h</t>
  </si>
  <si>
    <t xml:space="preserve">Livraison</t>
  </si>
  <si>
    <t xml:space="preserve">⚡ Tests end-to-end</t>
  </si>
  <si>
    <t xml:space="preserve">Cypress / Playwright — parcours coach complet &amp; athlète complet</t>
  </si>
  <si>
    <t xml:space="preserve">Correction des bugs</t>
  </si>
  <si>
    <t xml:space="preserve">Buffer recette — correctifs issues de la démo Karoly</t>
  </si>
  <si>
    <t xml:space="preserve">Démo &amp; recette Karoly</t>
  </si>
  <si>
    <t xml:space="preserve">Session live, validation fonctionnelle, go / no-go production
→ Jalon 3 → paiement final</t>
  </si>
  <si>
    <t xml:space="preserve">⚡ Documentation minimale</t>
  </si>
  <si>
    <t xml:space="preserve">README déploiement, guide admin utilisateurs, secrets rotation</t>
  </si>
  <si>
    <t xml:space="preserve">  TOTAL LOT 1</t>
  </si>
  <si>
    <t xml:space="preserve">Légende :</t>
  </si>
  <si>
    <t xml:space="preserve">Statut :</t>
  </si>
  <si>
    <t xml:space="preserve">En cours</t>
  </si>
  <si>
    <t xml:space="preserve">Terminé</t>
  </si>
  <si>
    <t xml:space="preserve">Bloqué</t>
  </si>
  <si>
    <t xml:space="preserve">Project K — Backlog détaillé MVP</t>
  </si>
  <si>
    <t xml:space="preserve">Toutes les tâches du Lot 1 — mise à jour du statut au fil du développement</t>
  </si>
  <si>
    <t xml:space="preserve">Détail / sous-tâches</t>
  </si>
  <si>
    <t xml:space="preserve">h est.</t>
  </si>
  <si>
    <t xml:space="preserve">h réel.</t>
  </si>
  <si>
    <t xml:space="preserve">⚡ CC</t>
  </si>
  <si>
    <t xml:space="preserve">Dépendances / Notes</t>
  </si>
  <si>
    <t xml:space="preserve">  🔧 Setup technique   ──   Budget : 7h</t>
  </si>
  <si>
    <t xml:space="preserve">Init projet Next.js</t>
  </si>
  <si>
    <t xml:space="preserve">⚡</t>
  </si>
  <si>
    <t xml:space="preserve">Supabase Auth + RLS</t>
  </si>
  <si>
    <t xml:space="preserve">Email / magic link, Row Level Security par athlète</t>
  </si>
  <si>
    <t xml:space="preserve">Sem. 1  |  Base de sécurité M1 &amp; M2</t>
  </si>
  <si>
    <t xml:space="preserve">CI/CD GitHub Actions</t>
  </si>
  <si>
    <t xml:space="preserve">  📊 Module 1 — Dashboard coach (migration Retool++)   ──   Budget : 20h</t>
  </si>
  <si>
    <t xml:space="preserve">Layout + navigation</t>
  </si>
  <si>
    <t xml:space="preserve">Shell app : sidebar, routing, auth guards</t>
  </si>
  <si>
    <t xml:space="preserve">Sem. 1,2  |  Socle partagé M1 &amp; M2</t>
  </si>
  <si>
    <t xml:space="preserve">Table des activités</t>
  </si>
  <si>
    <t xml:space="preserve">Filtres athlète / sport / date — édition manuelle intervalles</t>
  </si>
  <si>
    <t xml:space="preserve">Sem. 2  |  Migration 1:1 depuis Retool</t>
  </si>
  <si>
    <t xml:space="preserve">Vue Santé (HRV)</t>
  </si>
  <si>
    <t xml:space="preserve">LnRMSSD + FC repos + import CSV HRV 4 Training (endpoint Nolio futur)</t>
  </si>
  <si>
    <t xml:space="preserve">Sem. 2  |  Source temporaire CSV</t>
  </si>
  <si>
    <t xml:space="preserve">Profils Physio (SCD2)</t>
  </si>
  <si>
    <t xml:space="preserve">LT1/LT2/CP historique versionné — substit. CP/CS dans MLS si LT absent</t>
  </si>
  <si>
    <t xml:space="preserve">Sem. 2  |  SCD Type 2 = pas d'écrasement</t>
  </si>
  <si>
    <t xml:space="preserve">Heatmap de charge flotte</t>
  </si>
  <si>
    <t xml:space="preserve">Tous athlètes × semaines, colorée vert → rouge (charge MLS)</t>
  </si>
  <si>
    <t xml:space="preserve">Sem. 2,3  |  Vue macro pour le coach</t>
  </si>
  <si>
    <t xml:space="preserve">Gestion utilisateurs</t>
  </si>
  <si>
    <t xml:space="preserve">  👤 Module 2 — Espace athlète   ──   Budget : 28h</t>
  </si>
  <si>
    <t xml:space="preserve">Auth multi-rôles</t>
  </si>
  <si>
    <t xml:space="preserve">Coach vs athlète — RLS Supabase, redirect automatique par rôle</t>
  </si>
  <si>
    <t xml:space="preserve">Sem. 3  |  Dépend : Setup Auth</t>
  </si>
  <si>
    <t xml:space="preserve">Vue calendrier</t>
  </si>
  <si>
    <t xml:space="preserve">Sem. 3,4</t>
  </si>
  <si>
    <t xml:space="preserve">Fiche séance</t>
  </si>
  <si>
    <t xml:space="preserve">Graphique découplage, intervalles (valeur moy. &amp; dernière), métriques clés</t>
  </si>
  <si>
    <t xml:space="preserve">Sem. 4  |  Cœur de la valeur athlète</t>
  </si>
  <si>
    <t xml:space="preserve">Vue Santé athlète</t>
  </si>
  <si>
    <t xml:space="preserve">Tests + polish UI</t>
  </si>
  <si>
    <t xml:space="preserve">  📅 Module 3 — Fiches semaine &amp; mois   ──   Budget : 15h</t>
  </si>
  <si>
    <t xml:space="preserve">KPIs automatiques</t>
  </si>
  <si>
    <t xml:space="preserve">Heatmap calendrier 7j</t>
  </si>
  <si>
    <t xml:space="preserve">ACWR charge aiguë / chronique</t>
  </si>
  <si>
    <t xml:space="preserve">Suivi HRV (LnRMSSD + SWC)</t>
  </si>
  <si>
    <t xml:space="preserve">Import CSV + SWC 28j + signal Hausse/Dégradation (algo Karoly)</t>
  </si>
  <si>
    <t xml:space="preserve">Sem. 5  |  ⚠️ Algo signal à recevoir de Karoly</t>
  </si>
  <si>
    <t xml:space="preserve">Analyses textuelles (règles)</t>
  </si>
  <si>
    <t xml:space="preserve">Sem. 5,6</t>
  </si>
  <si>
    <t xml:space="preserve">Export PDF</t>
  </si>
  <si>
    <t xml:space="preserve">  🚀 Livraison &amp; recette   ──   Budget : 7h</t>
  </si>
  <si>
    <t xml:space="preserve">Tests end-to-end</t>
  </si>
  <si>
    <t xml:space="preserve">Session live, validation fonctionnelle, go / no-go production</t>
  </si>
  <si>
    <t xml:space="preserve">Sem. 6  |  Jalon 3 → paiement final</t>
  </si>
  <si>
    <t xml:space="preserve">Documentation minimale</t>
  </si>
  <si>
    <t xml:space="preserve">  Sous-total Setup</t>
  </si>
  <si>
    <t xml:space="preserve">  Sous-total Module 1</t>
  </si>
  <si>
    <t xml:space="preserve">  Sous-total Module 2</t>
  </si>
  <si>
    <t xml:space="preserve">  Sous-total Module 3</t>
  </si>
  <si>
    <t xml:space="preserve">  Sous-total Livraison</t>
  </si>
  <si>
    <t xml:space="preserve">Project K — Jalons &amp; Budget LOT 1</t>
  </si>
  <si>
    <t xml:space="preserve">3 mensualités de 933 € — Lot 1 livré avant Lot 2</t>
  </si>
  <si>
    <t xml:space="preserve">  JALONS DE PAIEMENT</t>
  </si>
  <si>
    <t xml:space="preserve">Jalon</t>
  </si>
  <si>
    <t xml:space="preserve">Livrable</t>
  </si>
  <si>
    <t xml:space="preserve">Date cible</t>
  </si>
  <si>
    <t xml:space="preserve">Montant</t>
  </si>
  <si>
    <t xml:space="preserve">Facture</t>
  </si>
  <si>
    <t xml:space="preserve">Notes</t>
  </si>
  <si>
    <t xml:space="preserve">Jalon 1</t>
  </si>
  <si>
    <t xml:space="preserve">Commande &amp; démarrage — Setup technique validé</t>
  </si>
  <si>
    <t xml:space="preserve">À émettre</t>
  </si>
  <si>
    <t xml:space="preserve">FAC-001</t>
  </si>
  <si>
    <t xml:space="preserve">1re mensualité — due à la commande</t>
  </si>
  <si>
    <t xml:space="preserve">Jalon 2</t>
  </si>
  <si>
    <t xml:space="preserve">Mi-livraison — Modules 1 &amp; 2 livrés en staging</t>
  </si>
  <si>
    <t xml:space="preserve">FAC-002</t>
  </si>
  <si>
    <t xml:space="preserve">2e mensualité — ~fin semaine 4</t>
  </si>
  <si>
    <t xml:space="preserve">Jalon 3</t>
  </si>
  <si>
    <t xml:space="preserve">Livraison finale — Lot 1 recetté par Karoly</t>
  </si>
  <si>
    <t xml:space="preserve">FAC-003</t>
  </si>
  <si>
    <t xml:space="preserve">3e mensualité — fin semaine 6</t>
  </si>
  <si>
    <t xml:space="preserve">  TOTAL LOT 1 HT</t>
  </si>
  <si>
    <t xml:space="preserve">  SUIVI BUDGET — HEURES</t>
  </si>
  <si>
    <t xml:space="preserve">Budget (h)</t>
  </si>
  <si>
    <t xml:space="preserve">Réel (h)</t>
  </si>
  <si>
    <t xml:space="preserve">Restant (h)</t>
  </si>
  <si>
    <t xml:space="preserve">Avancement</t>
  </si>
  <si>
    <t xml:space="preserve">Montant budget</t>
  </si>
  <si>
    <t xml:space="preserve">Montant consommé</t>
  </si>
  <si>
    <t xml:space="preserve">🔧 Setup technique</t>
  </si>
  <si>
    <t xml:space="preserve">📊 Module 1 — Dashboard coach (migration Retool++)</t>
  </si>
  <si>
    <t xml:space="preserve">👤 Module 2 — Espace athlète</t>
  </si>
  <si>
    <t xml:space="preserve">📅 Module 3 — Fiches semaine &amp; mois</t>
  </si>
  <si>
    <t xml:space="preserve">🚀 Livraison &amp; recette</t>
  </si>
  <si>
    <t xml:space="preserve">TOTAL</t>
  </si>
  <si>
    <t xml:space="preserve">  ⚠️  BLOQUEURS &amp; PRÉREQUIS</t>
  </si>
  <si>
    <t xml:space="preserve">Prérequis</t>
  </si>
  <si>
    <t xml:space="preserve">Responsable</t>
  </si>
  <si>
    <t xml:space="preserve">Échéance / Notes</t>
  </si>
  <si>
    <t xml:space="preserve">Algo signal HRV (Hausse / Dégradation)</t>
  </si>
  <si>
    <t xml:space="preserve">Karoly</t>
  </si>
  <si>
    <t xml:space="preserve">Avant S5 — requis pour Module 3 HRV</t>
  </si>
  <si>
    <t xml:space="preserve">Endpoint HRV Nolio</t>
  </si>
  <si>
    <t xml:space="preserve">Nolio</t>
  </si>
  <si>
    <t xml:space="preserve">Post-MVP — remplacera l'import CSV HRV 4 Training</t>
  </si>
  <si>
    <t xml:space="preserve">CSV export HRV 4 Training (athlètes)</t>
  </si>
  <si>
    <t xml:space="preserve">Avant S5 — données historiques pour tests SWC</t>
  </si>
  <si>
    <t xml:space="preserve">Accès prod Supabase + Railway</t>
  </si>
  <si>
    <t xml:space="preserve">Arthur</t>
  </si>
  <si>
    <t xml:space="preserve">Avant S1 — clés &amp; tokens prod</t>
  </si>
  <si>
    <t xml:space="preserve">Domaine final (ex: app.karolyspy.com)</t>
  </si>
  <si>
    <t xml:space="preserve">Avant S1 — achat DNS si nécessaire</t>
  </si>
  <si>
    <t xml:space="preserve">  ⚡  OUTILS &amp; ACCÉLÉRATEURS</t>
  </si>
  <si>
    <t xml:space="preserve">Outil</t>
  </si>
  <si>
    <t xml:space="preserve">Usage</t>
  </si>
  <si>
    <t xml:space="preserve">Impact estimé</t>
  </si>
  <si>
    <t xml:space="preserve">Claude Code (CLI)</t>
  </si>
  <si>
    <t xml:space="preserve">Génération de code, review, refacto, debug — utilisé tout au long du projet</t>
  </si>
  <si>
    <t xml:space="preserve">~40% tâches ⚡ taguées dans le backlog — accélère setup, composants, RLS, tests</t>
  </si>
  <si>
    <t xml:space="preserve">Claude in Chrome</t>
  </si>
  <si>
    <t xml:space="preserve">Navigation web, extraction de docs, assistance en ligne</t>
  </si>
  <si>
    <t xml:space="preserve">Support ponctuel — recherche librairies, debug API</t>
  </si>
  <si>
    <t xml:space="preserve">GitHub Actions</t>
  </si>
  <si>
    <t xml:space="preserve">CI/CD automatique — lint, tests, deploy sur merge main</t>
  </si>
  <si>
    <t xml:space="preserve">Zéro friction deploy — recette plus rapide en S6</t>
  </si>
  <si>
    <t xml:space="preserve">Supabase Studio</t>
  </si>
  <si>
    <t xml:space="preserve">Dashboard visuel pour migrations, RLS, logs DB</t>
  </si>
  <si>
    <t xml:space="preserve">Debug DB sans CLI — gain de temps sur la phase d'intégration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</si>
</sst>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\h"/>
    <numFmt numFmtId="167" formatCode="#,##0&quot; €&quot;"/>
    <numFmt numFmtId="168" formatCode="0%"/>
  </numFmts>
  <fonts count="6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A8C8F0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b val="true"/>
      <sz val="10"/>
      <color rgb="FF1A56A0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i val="true"/>
      <sz val="8"/>
      <color rgb="FF6080A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b val="true"/>
      <sz val="9.5"/>
      <color rgb="FF111111"/>
      <name val="Arial"/>
      <family val="0"/>
      <charset val="1"/>
    </font>
    <font>
      <b val="true"/>
      <sz val="9.5"/>
      <color rgb="FF555555"/>
      <name val="Arial"/>
      <family val="0"/>
      <charset val="1"/>
    </font>
    <font>
      <b val="true"/>
      <sz val="8"/>
      <color rgb="FF555555"/>
      <name val="Arial"/>
      <family val="0"/>
      <charset val="1"/>
    </font>
    <font>
      <b val="true"/>
      <sz val="8.5"/>
      <color rgb="FF2A5FA8"/>
      <name val="Arial"/>
      <family val="0"/>
      <charset val="1"/>
    </font>
    <font>
      <b val="true"/>
      <sz val="8"/>
      <color rgb="FFC0392B"/>
      <name val="Arial"/>
      <family val="0"/>
      <charset val="1"/>
    </font>
    <font>
      <sz val="8"/>
      <color rgb="FF5A6A7A"/>
      <name val="Arial"/>
      <family val="0"/>
      <charset val="1"/>
    </font>
    <font>
      <i val="true"/>
      <sz val="8"/>
      <color rgb="FF5A6A7A"/>
      <name val="Arial"/>
      <family val="0"/>
      <charset val="1"/>
    </font>
    <font>
      <b val="true"/>
      <sz val="8"/>
      <color rgb="FF8A6000"/>
      <name val="Arial"/>
      <family val="0"/>
      <charset val="1"/>
    </font>
    <font>
      <i val="true"/>
      <sz val="8.5"/>
      <color rgb="FF1A56A0"/>
      <name val="Arial"/>
      <family val="0"/>
      <charset val="1"/>
    </font>
    <font>
      <b val="true"/>
      <sz val="9.5"/>
      <color rgb="FF1A56A0"/>
      <name val="Arial"/>
      <family val="0"/>
      <charset val="1"/>
    </font>
    <font>
      <b val="true"/>
      <sz val="8"/>
      <color rgb="FF1A56A0"/>
      <name val="Arial"/>
      <family val="0"/>
      <charset val="1"/>
    </font>
    <font>
      <b val="true"/>
      <sz val="8"/>
      <color rgb="FF2E7D32"/>
      <name val="Arial"/>
      <family val="0"/>
      <charset val="1"/>
    </font>
    <font>
      <i val="true"/>
      <sz val="8.5"/>
      <color rgb="FF1A7A4A"/>
      <name val="Arial"/>
      <family val="0"/>
      <charset val="1"/>
    </font>
    <font>
      <b val="true"/>
      <sz val="9.5"/>
      <color rgb="FF1A7A4A"/>
      <name val="Arial"/>
      <family val="0"/>
      <charset val="1"/>
    </font>
    <font>
      <b val="true"/>
      <sz val="8"/>
      <color rgb="FF1A7A4A"/>
      <name val="Arial"/>
      <family val="0"/>
      <charset val="1"/>
    </font>
    <font>
      <i val="true"/>
      <sz val="8.5"/>
      <color rgb="FF6B3A8A"/>
      <name val="Arial"/>
      <family val="0"/>
      <charset val="1"/>
    </font>
    <font>
      <b val="true"/>
      <sz val="9.5"/>
      <color rgb="FF6B3A8A"/>
      <name val="Arial"/>
      <family val="0"/>
      <charset val="1"/>
    </font>
    <font>
      <b val="true"/>
      <sz val="8"/>
      <color rgb="FF6B3A8A"/>
      <name val="Arial"/>
      <family val="0"/>
      <charset val="1"/>
    </font>
    <font>
      <i val="true"/>
      <sz val="8.5"/>
      <color rgb="FFC05A0A"/>
      <name val="Arial"/>
      <family val="0"/>
      <charset val="1"/>
    </font>
    <font>
      <b val="true"/>
      <sz val="9.5"/>
      <color rgb="FFC05A0A"/>
      <name val="Arial"/>
      <family val="0"/>
      <charset val="1"/>
    </font>
    <font>
      <b val="true"/>
      <sz val="8"/>
      <color rgb="FFC05A0A"/>
      <name val="Arial"/>
      <family val="0"/>
      <charset val="1"/>
    </font>
    <font>
      <b val="true"/>
      <sz val="8.5"/>
      <color rgb="FF5A607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2A5FA8"/>
      <name val="Arial"/>
      <family val="0"/>
      <charset val="1"/>
    </font>
    <font>
      <b val="true"/>
      <sz val="8"/>
      <color rgb="FF996600"/>
      <name val="Arial"/>
      <family val="0"/>
      <charset val="1"/>
    </font>
    <font>
      <b val="true"/>
      <sz val="8"/>
      <color rgb="FFB0303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color rgb="FFA8D8B8"/>
      <name val="Arial"/>
      <family val="0"/>
      <charset val="1"/>
    </font>
    <font>
      <sz val="8.5"/>
      <color rgb="FF445566"/>
      <name val="Arial"/>
      <family val="0"/>
      <charset val="1"/>
    </font>
    <font>
      <sz val="9.5"/>
      <color rgb="FF888888"/>
      <name val="Arial"/>
      <family val="0"/>
      <charset val="1"/>
    </font>
    <font>
      <b val="true"/>
      <sz val="11"/>
      <color rgb="FF1A56A0"/>
      <name val="Arial"/>
      <family val="0"/>
      <charset val="1"/>
    </font>
    <font>
      <b val="true"/>
      <sz val="11"/>
      <color rgb="FFCCCCCC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9"/>
      <color rgb="FF1A56A0"/>
      <name val="Arial"/>
      <family val="0"/>
      <charset val="1"/>
    </font>
    <font>
      <b val="true"/>
      <sz val="9"/>
      <color rgb="FF1A7A4A"/>
      <name val="Arial"/>
      <family val="0"/>
      <charset val="1"/>
    </font>
    <font>
      <b val="true"/>
      <sz val="9"/>
      <color rgb="FF6B3A8A"/>
      <name val="Arial"/>
      <family val="0"/>
      <charset val="1"/>
    </font>
    <font>
      <b val="true"/>
      <sz val="9"/>
      <color rgb="FFC05A0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D8B0"/>
      <name val="Arial"/>
      <family val="0"/>
      <charset val="1"/>
    </font>
    <font>
      <sz val="9"/>
      <color rgb="FF111111"/>
      <name val="Arial"/>
      <family val="0"/>
      <charset val="1"/>
    </font>
    <font>
      <sz val="8.5"/>
      <color rgb="FF556677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0"/>
      <color rgb="FFC05A0A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sz val="10"/>
      <color rgb="FF777777"/>
      <name val="Arial"/>
      <family val="0"/>
      <charset val="1"/>
    </font>
    <font>
      <sz val="10"/>
      <color rgb="FF111111"/>
      <name val="Arial"/>
      <family val="0"/>
      <charset val="1"/>
    </font>
    <font>
      <sz val="9"/>
      <color rgb="FF445566"/>
      <name val="Arial"/>
      <family val="0"/>
      <charset val="1"/>
    </font>
    <font>
      <b val="true"/>
      <sz val="10"/>
      <color rgb="FF6B3A8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.5"/>
      <color rgb="FF5A6A7A"/>
      <name val="Arial"/>
      <family val="0"/>
      <charset val="1"/>
    </font>
    <font>
      <sz val="8.5"/>
      <color rgb="FF111111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1A56A0"/>
        <bgColor rgb="FF2A5FA8"/>
      </patternFill>
    </fill>
    <fill>
      <patternFill patternType="solid">
        <fgColor rgb="FFFFF3CD"/>
        <bgColor rgb="FFFEF3CD"/>
      </patternFill>
    </fill>
    <fill>
      <patternFill patternType="solid">
        <fgColor rgb="FFF0F4F8"/>
        <bgColor rgb="FFF2F4F7"/>
      </patternFill>
    </fill>
    <fill>
      <patternFill patternType="solid">
        <fgColor rgb="FFEEF3F9"/>
        <bgColor rgb="FFF0F4F8"/>
      </patternFill>
    </fill>
    <fill>
      <patternFill patternType="solid">
        <fgColor rgb="FF555555"/>
        <bgColor rgb="FF445566"/>
      </patternFill>
    </fill>
    <fill>
      <patternFill patternType="solid">
        <fgColor rgb="FFA0A0A0"/>
        <bgColor rgb="FFB08CD0"/>
      </patternFill>
    </fill>
    <fill>
      <patternFill patternType="solid">
        <fgColor rgb="FFE0E0E0"/>
        <bgColor rgb="FFD6E4F5"/>
      </patternFill>
    </fill>
    <fill>
      <patternFill patternType="solid">
        <fgColor rgb="FFF2F4F7"/>
        <bgColor rgb="FFF0F4F8"/>
      </patternFill>
    </fill>
    <fill>
      <patternFill patternType="solid">
        <fgColor rgb="FFE8EEF5"/>
        <bgColor rgb="FFEEF3F9"/>
      </patternFill>
    </fill>
    <fill>
      <patternFill patternType="solid">
        <fgColor rgb="FFFDECEA"/>
        <bgColor rgb="FFF2F4F7"/>
      </patternFill>
    </fill>
    <fill>
      <patternFill patternType="solid">
        <fgColor rgb="FFFFFFFF"/>
        <bgColor rgb="FFF5F7FA"/>
      </patternFill>
    </fill>
    <fill>
      <patternFill patternType="solid">
        <fgColor rgb="FFFEF3CD"/>
        <bgColor rgb="FFFFF3CD"/>
      </patternFill>
    </fill>
    <fill>
      <patternFill patternType="solid">
        <fgColor rgb="FF8BB8E0"/>
        <bgColor rgb="FFA8C8F0"/>
      </patternFill>
    </fill>
    <fill>
      <patternFill patternType="solid">
        <fgColor rgb="FFD6E4F5"/>
        <bgColor rgb="FFE0E0E0"/>
      </patternFill>
    </fill>
    <fill>
      <patternFill patternType="solid">
        <fgColor rgb="FFEAF5EA"/>
        <bgColor rgb="FFEEF3F9"/>
      </patternFill>
    </fill>
    <fill>
      <patternFill patternType="solid">
        <fgColor rgb="FF1A7A4A"/>
        <bgColor rgb="FF2E7D32"/>
      </patternFill>
    </fill>
    <fill>
      <patternFill patternType="solid">
        <fgColor rgb="FF7ABFA0"/>
        <bgColor rgb="FF8BB8E0"/>
      </patternFill>
    </fill>
    <fill>
      <patternFill patternType="solid">
        <fgColor rgb="FFCCE8D8"/>
        <bgColor rgb="FFD4EDDA"/>
      </patternFill>
    </fill>
    <fill>
      <patternFill patternType="solid">
        <fgColor rgb="FF6B3A8A"/>
        <bgColor rgb="FF555555"/>
      </patternFill>
    </fill>
    <fill>
      <patternFill patternType="solid">
        <fgColor rgb="FFB08CD0"/>
        <bgColor rgb="FFA0A0A0"/>
      </patternFill>
    </fill>
    <fill>
      <patternFill patternType="solid">
        <fgColor rgb="FFE4D4F4"/>
        <bgColor rgb="FFE0E0E0"/>
      </patternFill>
    </fill>
    <fill>
      <patternFill patternType="solid">
        <fgColor rgb="FFC05A0A"/>
        <bgColor rgb="FFD06820"/>
      </patternFill>
    </fill>
    <fill>
      <patternFill patternType="solid">
        <fgColor rgb="FFF0A868"/>
        <bgColor rgb="FFFFD8B0"/>
      </patternFill>
    </fill>
    <fill>
      <patternFill patternType="solid">
        <fgColor rgb="FFFFE2C8"/>
        <bgColor rgb="FFF8D7DA"/>
      </patternFill>
    </fill>
    <fill>
      <patternFill patternType="solid">
        <fgColor rgb="FFF5F7FA"/>
        <bgColor rgb="FFF2F4F7"/>
      </patternFill>
    </fill>
    <fill>
      <patternFill patternType="solid">
        <fgColor rgb="FFD4EDDA"/>
        <bgColor rgb="FFCCE8D8"/>
      </patternFill>
    </fill>
    <fill>
      <patternFill patternType="solid">
        <fgColor rgb="FFF8D7DA"/>
        <bgColor rgb="FFFFE2C8"/>
      </patternFill>
    </fill>
    <fill>
      <patternFill patternType="solid">
        <fgColor rgb="FFEEF6FF"/>
        <bgColor rgb="FFF0F4F8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0CAD8"/>
      </left>
      <right/>
      <top style="thin">
        <color rgb="FFC0CAD8"/>
      </top>
      <bottom style="thin">
        <color rgb="FFC0CAD8"/>
      </bottom>
      <diagonal/>
    </border>
    <border diagonalUp="false" diagonalDown="false">
      <left style="medium">
        <color rgb="FF1A56A0"/>
      </left>
      <right style="medium">
        <color rgb="FF1A56A0"/>
      </right>
      <top style="medium">
        <color rgb="FF1A56A0"/>
      </top>
      <bottom style="medium">
        <color rgb="FF1A56A0"/>
      </bottom>
      <diagonal/>
    </border>
    <border diagonalUp="false" diagonalDown="false">
      <left style="thin">
        <color rgb="FF2A66B0"/>
      </left>
      <right style="thin">
        <color rgb="FF2A66B0"/>
      </right>
      <top style="thin">
        <color rgb="FF2A66B0"/>
      </top>
      <bottom style="thin">
        <color rgb="FF2A66B0"/>
      </bottom>
      <diagonal/>
    </border>
    <border diagonalUp="false" diagonalDown="false">
      <left style="thin">
        <color rgb="FFC0CAD8"/>
      </left>
      <right style="thin">
        <color rgb="FFC0CAD8"/>
      </right>
      <top style="thin">
        <color rgb="FFC0CAD8"/>
      </top>
      <bottom style="thin">
        <color rgb="FFC0CAD8"/>
      </bottom>
      <diagonal/>
    </border>
    <border diagonalUp="false" diagonalDown="false">
      <left style="thin">
        <color rgb="FF555555"/>
      </left>
      <right/>
      <top style="thin">
        <color rgb="FF555555"/>
      </top>
      <bottom style="thin">
        <color rgb="FF555555"/>
      </bottom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1A56A0"/>
      </left>
      <right/>
      <top style="thin">
        <color rgb="FF1A56A0"/>
      </top>
      <bottom style="thin">
        <color rgb="FF1A56A0"/>
      </bottom>
      <diagonal/>
    </border>
    <border diagonalUp="false" diagonalDown="false">
      <left style="thin">
        <color rgb="FF8BB8E0"/>
      </left>
      <right style="thin">
        <color rgb="FF8BB8E0"/>
      </right>
      <top style="thin">
        <color rgb="FF8BB8E0"/>
      </top>
      <bottom style="thin">
        <color rgb="FF8BB8E0"/>
      </bottom>
      <diagonal/>
    </border>
    <border diagonalUp="false" diagonalDown="false">
      <left style="thin">
        <color rgb="FF1A7A4A"/>
      </left>
      <right/>
      <top style="thin">
        <color rgb="FF1A7A4A"/>
      </top>
      <bottom style="thin">
        <color rgb="FF1A7A4A"/>
      </bottom>
      <diagonal/>
    </border>
    <border diagonalUp="false" diagonalDown="false">
      <left style="thin">
        <color rgb="FF7ABFA0"/>
      </left>
      <right style="thin">
        <color rgb="FF7ABFA0"/>
      </right>
      <top style="thin">
        <color rgb="FF7ABFA0"/>
      </top>
      <bottom style="thin">
        <color rgb="FF7ABFA0"/>
      </bottom>
      <diagonal/>
    </border>
    <border diagonalUp="false" diagonalDown="false">
      <left style="thin">
        <color rgb="FF6B3A8A"/>
      </left>
      <right/>
      <top style="thin">
        <color rgb="FF6B3A8A"/>
      </top>
      <bottom style="thin">
        <color rgb="FF6B3A8A"/>
      </bottom>
      <diagonal/>
    </border>
    <border diagonalUp="false" diagonalDown="false">
      <left style="thin">
        <color rgb="FFB08CD0"/>
      </left>
      <right style="thin">
        <color rgb="FFB08CD0"/>
      </right>
      <top style="thin">
        <color rgb="FFB08CD0"/>
      </top>
      <bottom style="thin">
        <color rgb="FFB08CD0"/>
      </bottom>
      <diagonal/>
    </border>
    <border diagonalUp="false" diagonalDown="false">
      <left style="thin">
        <color rgb="FFC05A0A"/>
      </left>
      <right/>
      <top style="thin">
        <color rgb="FFC05A0A"/>
      </top>
      <bottom style="thin">
        <color rgb="FFC05A0A"/>
      </bottom>
      <diagonal/>
    </border>
    <border diagonalUp="false" diagonalDown="false">
      <left style="thin">
        <color rgb="FFF0A868"/>
      </left>
      <right style="thin">
        <color rgb="FFF0A868"/>
      </right>
      <top style="thin">
        <color rgb="FFF0A868"/>
      </top>
      <bottom style="thin">
        <color rgb="FFF0A868"/>
      </bottom>
      <diagonal/>
    </border>
    <border diagonalUp="false" diagonalDown="false">
      <left style="thin">
        <color rgb="FF1A56A0"/>
      </left>
      <right style="thin">
        <color rgb="FF1A56A0"/>
      </right>
      <top style="thin">
        <color rgb="FF1A56A0"/>
      </top>
      <bottom style="thin">
        <color rgb="FF1A56A0"/>
      </bottom>
      <diagonal/>
    </border>
    <border diagonalUp="false" diagonalDown="false">
      <left style="thin">
        <color rgb="FF2A8A5A"/>
      </left>
      <right style="thin">
        <color rgb="FF2A8A5A"/>
      </right>
      <top style="thin">
        <color rgb="FF2A8A5A"/>
      </top>
      <bottom style="thin">
        <color rgb="FF2A8A5A"/>
      </bottom>
      <diagonal/>
    </border>
    <border diagonalUp="false" diagonalDown="false">
      <left style="thin">
        <color rgb="FFA0A0A0"/>
      </left>
      <right/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8BB8E0"/>
      </left>
      <right/>
      <top style="thin">
        <color rgb="FF8BB8E0"/>
      </top>
      <bottom style="thin">
        <color rgb="FF8BB8E0"/>
      </bottom>
      <diagonal/>
    </border>
    <border diagonalUp="false" diagonalDown="false">
      <left style="thin">
        <color rgb="FF7ABFA0"/>
      </left>
      <right/>
      <top style="thin">
        <color rgb="FF7ABFA0"/>
      </top>
      <bottom style="thin">
        <color rgb="FF7ABFA0"/>
      </bottom>
      <diagonal/>
    </border>
    <border diagonalUp="false" diagonalDown="false">
      <left style="thin">
        <color rgb="FFB08CD0"/>
      </left>
      <right/>
      <top style="thin">
        <color rgb="FFB08CD0"/>
      </top>
      <bottom style="thin">
        <color rgb="FFB08CD0"/>
      </bottom>
      <diagonal/>
    </border>
    <border diagonalUp="false" diagonalDown="false">
      <left style="thin">
        <color rgb="FFF0A868"/>
      </left>
      <right/>
      <top style="thin">
        <color rgb="FFF0A868"/>
      </top>
      <bottom style="thin">
        <color rgb="FFF0A868"/>
      </bottom>
      <diagonal/>
    </border>
    <border diagonalUp="false" diagonalDown="false">
      <left style="thin">
        <color rgb="FF1A7A4A"/>
      </left>
      <right style="thin">
        <color rgb="FF1A7A4A"/>
      </right>
      <top style="thin">
        <color rgb="FF1A7A4A"/>
      </top>
      <bottom style="thin">
        <color rgb="FF1A7A4A"/>
      </bottom>
      <diagonal/>
    </border>
    <border diagonalUp="false" diagonalDown="false">
      <left style="thin">
        <color rgb="FFD06820"/>
      </left>
      <right style="thin">
        <color rgb="FFD06820"/>
      </right>
      <top style="thin">
        <color rgb="FFD06820"/>
      </top>
      <bottom style="thin">
        <color rgb="FFD06820"/>
      </bottom>
      <diagonal/>
    </border>
    <border diagonalUp="false" diagonalDown="false">
      <left style="thin">
        <color rgb="FFC05A0A"/>
      </left>
      <right style="thin">
        <color rgb="FFC05A0A"/>
      </right>
      <top style="thin">
        <color rgb="FFC05A0A"/>
      </top>
      <bottom style="thin">
        <color rgb="FFC05A0A"/>
      </bottom>
      <diagonal/>
    </border>
    <border diagonalUp="false" diagonalDown="false"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 diagonalUp="false" diagonalDown="false"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1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8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4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1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7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2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2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8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4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1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5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1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6" fillId="1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7" fillId="2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2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8" fillId="2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5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1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9" fillId="1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5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6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3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2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8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4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3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7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3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8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9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7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9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8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2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4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7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4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8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6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5F7FA"/>
      <rgbColor rgb="FFE8EEF5"/>
      <rgbColor rgb="FF0000FF"/>
      <rgbColor rgb="FFCCE8D8"/>
      <rgbColor rgb="FFEEF3F9"/>
      <rgbColor rgb="FFD6E4F5"/>
      <rgbColor rgb="FF8A6000"/>
      <rgbColor rgb="FF2E7D32"/>
      <rgbColor rgb="FF000080"/>
      <rgbColor rgb="FF996600"/>
      <rgbColor rgb="FF777777"/>
      <rgbColor rgb="FF1A7A4A"/>
      <rgbColor rgb="FFC0CAD8"/>
      <rgbColor rgb="FF888888"/>
      <rgbColor rgb="FFB08CD0"/>
      <rgbColor rgb="FF6B3A8A"/>
      <rgbColor rgb="FFFFF3CD"/>
      <rgbColor rgb="FFEAF5EA"/>
      <rgbColor rgb="FF6080A0"/>
      <rgbColor rgb="FFF0A868"/>
      <rgbColor rgb="FF1A56A0"/>
      <rgbColor rgb="FFE4D4F4"/>
      <rgbColor rgb="FF000080"/>
      <rgbColor rgb="FFF2F4F7"/>
      <rgbColor rgb="FFFDECEA"/>
      <rgbColor rgb="FFE0E0E0"/>
      <rgbColor rgb="FFF0F4F8"/>
      <rgbColor rgb="FF800000"/>
      <rgbColor rgb="FF2A5FA8"/>
      <rgbColor rgb="FF0000FF"/>
      <rgbColor rgb="FF8BB8E0"/>
      <rgbColor rgb="FFEEF6FF"/>
      <rgbColor rgb="FFD4EDDA"/>
      <rgbColor rgb="FFFEF3CD"/>
      <rgbColor rgb="FFA8C8F0"/>
      <rgbColor rgb="FFF8D7DA"/>
      <rgbColor rgb="FFCCCCCC"/>
      <rgbColor rgb="FFFFD8B0"/>
      <rgbColor rgb="FF2A66B0"/>
      <rgbColor rgb="FF7ABFA0"/>
      <rgbColor rgb="FFA8D8B8"/>
      <rgbColor rgb="FFFFE2C8"/>
      <rgbColor rgb="FFC05A0A"/>
      <rgbColor rgb="FFD06820"/>
      <rgbColor rgb="FF5A6A7A"/>
      <rgbColor rgb="FFA0A0A0"/>
      <rgbColor rgb="FF556677"/>
      <rgbColor rgb="FF2A8A5A"/>
      <rgbColor rgb="FF111111"/>
      <rgbColor rgb="FF5A6070"/>
      <rgbColor rgb="FFB03030"/>
      <rgbColor rgb="FFC0392B"/>
      <rgbColor rgb="FF445566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6A0"/>
    <pageSetUpPr fitToPage="false"/>
  </sheetPr>
  <dimension ref="A1:M1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8"/>
    <col collapsed="false" customWidth="true" hidden="false" outlineLevel="0" max="10" min="5" style="0" width="14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28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7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</row>
    <row r="3" customFormat="false" ht="21.75" hidden="false" customHeight="tru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3"/>
      <c r="J3" s="3"/>
      <c r="K3" s="3"/>
      <c r="L3" s="3"/>
      <c r="M3" s="3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31.5" hidden="false" customHeight="true" outlineLevel="0" collapsed="false">
      <c r="A5" s="5" t="s">
        <v>2</v>
      </c>
      <c r="B5" s="5"/>
      <c r="C5" s="5"/>
      <c r="D5" s="6" t="n">
        <v>46097</v>
      </c>
      <c r="E5" s="7"/>
      <c r="F5" s="7"/>
      <c r="G5" s="7"/>
      <c r="H5" s="7"/>
      <c r="I5" s="7"/>
      <c r="J5" s="7"/>
      <c r="K5" s="7"/>
      <c r="L5" s="7"/>
      <c r="M5" s="7"/>
    </row>
    <row r="6" customFormat="false" ht="19.5" hidden="false" customHeight="tru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customFormat="false" ht="39.75" hidden="false" customHeight="true" outlineLevel="0" collapsed="false">
      <c r="A7" s="9"/>
      <c r="B7" s="9" t="s">
        <v>3</v>
      </c>
      <c r="C7" s="9" t="s">
        <v>4</v>
      </c>
      <c r="D7" s="9" t="s">
        <v>5</v>
      </c>
      <c r="E7" s="9" t="s">
        <v>6</v>
      </c>
      <c r="F7" s="9" t="s">
        <v>7</v>
      </c>
      <c r="G7" s="9" t="s">
        <v>8</v>
      </c>
      <c r="H7" s="9" t="s">
        <v>9</v>
      </c>
      <c r="I7" s="9" t="s">
        <v>10</v>
      </c>
      <c r="J7" s="9" t="s">
        <v>11</v>
      </c>
      <c r="K7" s="9" t="s">
        <v>12</v>
      </c>
      <c r="L7" s="9" t="s">
        <v>13</v>
      </c>
      <c r="M7" s="9" t="s">
        <v>14</v>
      </c>
    </row>
    <row r="8" customFormat="false" ht="21.75" hidden="false" customHeight="true" outlineLevel="0" collapsed="false">
      <c r="A8" s="10"/>
      <c r="B8" s="10"/>
      <c r="C8" s="10"/>
      <c r="D8" s="10"/>
      <c r="E8" s="11" t="str">
        <f aca="false">TEXT($D$5+0,"DD/MM")&amp;" – "&amp;TEXT($D$5+6,"DD/MM")</f>
        <v>16/03 – 22/03</v>
      </c>
      <c r="F8" s="11" t="str">
        <f aca="false">TEXT($D$5+7,"DD/MM")&amp;" – "&amp;TEXT($D$5+13,"DD/MM")</f>
        <v>23/03 – 29/03</v>
      </c>
      <c r="G8" s="11" t="str">
        <f aca="false">TEXT($D$5+14,"DD/MM")&amp;" – "&amp;TEXT($D$5+20,"DD/MM")</f>
        <v>30/03 – 05/04</v>
      </c>
      <c r="H8" s="11" t="str">
        <f aca="false">TEXT($D$5+21,"DD/MM")&amp;" – "&amp;TEXT($D$5+27,"DD/MM")</f>
        <v>06/04 – 12/04</v>
      </c>
      <c r="I8" s="11" t="str">
        <f aca="false">TEXT($D$5+28,"DD/MM")&amp;" – "&amp;TEXT($D$5+34,"DD/MM")</f>
        <v>13/04 – 19/04</v>
      </c>
      <c r="J8" s="11" t="str">
        <f aca="false">TEXT($D$5+35,"DD/MM")&amp;" – "&amp;TEXT($D$5+41,"DD/MM")</f>
        <v>20/04 – 26/04</v>
      </c>
      <c r="K8" s="10"/>
      <c r="L8" s="10"/>
      <c r="M8" s="10"/>
    </row>
    <row r="9" customFormat="false" ht="25.5" hidden="false" customHeight="true" outlineLevel="0" collapsed="false">
      <c r="A9" s="12" t="s">
        <v>15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customFormat="false" ht="19.5" hidden="false" customHeight="true" outlineLevel="0" collapsed="false">
      <c r="A10" s="13"/>
      <c r="B10" s="14" t="s">
        <v>16</v>
      </c>
      <c r="C10" s="15" t="s">
        <v>17</v>
      </c>
      <c r="D10" s="16" t="n">
        <v>1</v>
      </c>
      <c r="E10" s="17" t="s">
        <v>18</v>
      </c>
      <c r="F10" s="18"/>
      <c r="G10" s="18"/>
      <c r="H10" s="18"/>
      <c r="I10" s="18"/>
      <c r="J10" s="18"/>
      <c r="K10" s="19" t="s">
        <v>19</v>
      </c>
      <c r="L10" s="20" t="s">
        <v>20</v>
      </c>
      <c r="M10" s="21" t="s">
        <v>21</v>
      </c>
    </row>
    <row r="11" customFormat="false" ht="31.5" hidden="false" customHeight="true" outlineLevel="0" collapsed="false">
      <c r="A11" s="13"/>
      <c r="B11" s="22" t="s">
        <v>16</v>
      </c>
      <c r="C11" s="23" t="s">
        <v>22</v>
      </c>
      <c r="D11" s="24" t="n">
        <v>1.5</v>
      </c>
      <c r="E11" s="17" t="s">
        <v>23</v>
      </c>
      <c r="F11" s="18"/>
      <c r="G11" s="18"/>
      <c r="H11" s="18"/>
      <c r="I11" s="18"/>
      <c r="J11" s="18"/>
      <c r="K11" s="19" t="s">
        <v>19</v>
      </c>
      <c r="L11" s="20" t="s">
        <v>20</v>
      </c>
      <c r="M11" s="25" t="s">
        <v>24</v>
      </c>
    </row>
    <row r="12" customFormat="false" ht="19.5" hidden="false" customHeight="true" outlineLevel="0" collapsed="false">
      <c r="A12" s="13"/>
      <c r="B12" s="14" t="s">
        <v>16</v>
      </c>
      <c r="C12" s="15" t="s">
        <v>25</v>
      </c>
      <c r="D12" s="16" t="n">
        <v>1.5</v>
      </c>
      <c r="E12" s="17" t="s">
        <v>23</v>
      </c>
      <c r="F12" s="18"/>
      <c r="G12" s="18"/>
      <c r="H12" s="18"/>
      <c r="I12" s="18"/>
      <c r="J12" s="18"/>
      <c r="K12" s="19" t="s">
        <v>19</v>
      </c>
      <c r="L12" s="20" t="s">
        <v>20</v>
      </c>
      <c r="M12" s="21" t="s">
        <v>26</v>
      </c>
    </row>
    <row r="13" customFormat="false" ht="19.5" hidden="false" customHeight="true" outlineLevel="0" collapsed="false">
      <c r="A13" s="13"/>
      <c r="B13" s="22" t="s">
        <v>16</v>
      </c>
      <c r="C13" s="23" t="s">
        <v>27</v>
      </c>
      <c r="D13" s="24" t="n">
        <v>1.5</v>
      </c>
      <c r="E13" s="17" t="s">
        <v>23</v>
      </c>
      <c r="F13" s="18"/>
      <c r="G13" s="18"/>
      <c r="H13" s="18"/>
      <c r="I13" s="18"/>
      <c r="J13" s="18"/>
      <c r="K13" s="19" t="s">
        <v>19</v>
      </c>
      <c r="L13" s="26" t="s">
        <v>28</v>
      </c>
      <c r="M13" s="27" t="s">
        <v>29</v>
      </c>
    </row>
    <row r="14" customFormat="false" ht="19.5" hidden="false" customHeight="true" outlineLevel="0" collapsed="false">
      <c r="A14" s="13"/>
      <c r="B14" s="14" t="s">
        <v>16</v>
      </c>
      <c r="C14" s="15" t="s">
        <v>30</v>
      </c>
      <c r="D14" s="16" t="n">
        <v>1.5</v>
      </c>
      <c r="E14" s="17" t="s">
        <v>23</v>
      </c>
      <c r="F14" s="18"/>
      <c r="G14" s="18"/>
      <c r="H14" s="18"/>
      <c r="I14" s="18"/>
      <c r="J14" s="18"/>
      <c r="K14" s="19" t="s">
        <v>19</v>
      </c>
      <c r="L14" s="20" t="s">
        <v>20</v>
      </c>
      <c r="M14" s="21" t="s">
        <v>31</v>
      </c>
    </row>
    <row r="15" customFormat="false" ht="25.5" hidden="false" customHeight="true" outlineLevel="0" collapsed="false">
      <c r="A15" s="28" t="s">
        <v>32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customFormat="false" ht="31.5" hidden="false" customHeight="true" outlineLevel="0" collapsed="false">
      <c r="A16" s="29"/>
      <c r="B16" s="30" t="s">
        <v>33</v>
      </c>
      <c r="C16" s="23" t="s">
        <v>34</v>
      </c>
      <c r="D16" s="31" t="n">
        <v>2</v>
      </c>
      <c r="E16" s="32" t="s">
        <v>18</v>
      </c>
      <c r="F16" s="32" t="s">
        <v>18</v>
      </c>
      <c r="G16" s="18"/>
      <c r="H16" s="18"/>
      <c r="I16" s="18"/>
      <c r="J16" s="18"/>
      <c r="K16" s="19" t="s">
        <v>19</v>
      </c>
      <c r="L16" s="20" t="s">
        <v>20</v>
      </c>
      <c r="M16" s="25" t="s">
        <v>35</v>
      </c>
    </row>
    <row r="17" customFormat="false" ht="31.5" hidden="false" customHeight="true" outlineLevel="0" collapsed="false">
      <c r="A17" s="29"/>
      <c r="B17" s="33" t="s">
        <v>33</v>
      </c>
      <c r="C17" s="34" t="s">
        <v>36</v>
      </c>
      <c r="D17" s="35" t="n">
        <v>4</v>
      </c>
      <c r="E17" s="18"/>
      <c r="F17" s="32" t="s">
        <v>37</v>
      </c>
      <c r="G17" s="18"/>
      <c r="H17" s="18"/>
      <c r="I17" s="18"/>
      <c r="J17" s="18"/>
      <c r="K17" s="19" t="s">
        <v>19</v>
      </c>
      <c r="L17" s="20" t="s">
        <v>20</v>
      </c>
      <c r="M17" s="36" t="s">
        <v>38</v>
      </c>
    </row>
    <row r="18" customFormat="false" ht="31.5" hidden="false" customHeight="true" outlineLevel="0" collapsed="false">
      <c r="A18" s="29"/>
      <c r="B18" s="30" t="s">
        <v>33</v>
      </c>
      <c r="C18" s="23" t="s">
        <v>39</v>
      </c>
      <c r="D18" s="31" t="n">
        <v>3</v>
      </c>
      <c r="E18" s="18"/>
      <c r="F18" s="32" t="s">
        <v>40</v>
      </c>
      <c r="G18" s="18"/>
      <c r="H18" s="18"/>
      <c r="I18" s="18"/>
      <c r="J18" s="18"/>
      <c r="K18" s="19" t="s">
        <v>19</v>
      </c>
      <c r="L18" s="26" t="s">
        <v>28</v>
      </c>
      <c r="M18" s="25" t="s">
        <v>41</v>
      </c>
    </row>
    <row r="19" customFormat="false" ht="31.5" hidden="false" customHeight="true" outlineLevel="0" collapsed="false">
      <c r="A19" s="29"/>
      <c r="B19" s="33" t="s">
        <v>33</v>
      </c>
      <c r="C19" s="34" t="s">
        <v>42</v>
      </c>
      <c r="D19" s="35" t="n">
        <v>2</v>
      </c>
      <c r="E19" s="18"/>
      <c r="F19" s="32" t="s">
        <v>43</v>
      </c>
      <c r="G19" s="18"/>
      <c r="H19" s="18"/>
      <c r="I19" s="18"/>
      <c r="J19" s="18"/>
      <c r="K19" s="19" t="s">
        <v>19</v>
      </c>
      <c r="L19" s="26" t="s">
        <v>28</v>
      </c>
      <c r="M19" s="36" t="s">
        <v>44</v>
      </c>
    </row>
    <row r="20" customFormat="false" ht="31.5" hidden="false" customHeight="true" outlineLevel="0" collapsed="false">
      <c r="A20" s="29"/>
      <c r="B20" s="30" t="s">
        <v>33</v>
      </c>
      <c r="C20" s="23" t="s">
        <v>45</v>
      </c>
      <c r="D20" s="31" t="n">
        <v>3</v>
      </c>
      <c r="E20" s="18"/>
      <c r="F20" s="32" t="s">
        <v>23</v>
      </c>
      <c r="G20" s="32" t="s">
        <v>23</v>
      </c>
      <c r="H20" s="18"/>
      <c r="I20" s="18"/>
      <c r="J20" s="18"/>
      <c r="K20" s="19" t="s">
        <v>19</v>
      </c>
      <c r="L20" s="26" t="s">
        <v>28</v>
      </c>
      <c r="M20" s="25" t="s">
        <v>46</v>
      </c>
    </row>
    <row r="21" customFormat="false" ht="19.5" hidden="false" customHeight="true" outlineLevel="0" collapsed="false">
      <c r="A21" s="29"/>
      <c r="B21" s="33" t="s">
        <v>33</v>
      </c>
      <c r="C21" s="34" t="s">
        <v>47</v>
      </c>
      <c r="D21" s="35" t="n">
        <v>1</v>
      </c>
      <c r="E21" s="18"/>
      <c r="F21" s="18"/>
      <c r="G21" s="32" t="s">
        <v>18</v>
      </c>
      <c r="H21" s="18"/>
      <c r="I21" s="18"/>
      <c r="J21" s="18"/>
      <c r="K21" s="19" t="s">
        <v>19</v>
      </c>
      <c r="L21" s="37" t="s">
        <v>48</v>
      </c>
      <c r="M21" s="38" t="s">
        <v>49</v>
      </c>
    </row>
    <row r="22" customFormat="false" ht="19.5" hidden="false" customHeight="true" outlineLevel="0" collapsed="false">
      <c r="A22" s="29"/>
      <c r="B22" s="30" t="s">
        <v>33</v>
      </c>
      <c r="C22" s="23" t="s">
        <v>50</v>
      </c>
      <c r="D22" s="31" t="n">
        <v>5</v>
      </c>
      <c r="E22" s="18"/>
      <c r="F22" s="18"/>
      <c r="G22" s="32" t="s">
        <v>51</v>
      </c>
      <c r="H22" s="18"/>
      <c r="I22" s="18"/>
      <c r="J22" s="18"/>
      <c r="K22" s="19" t="s">
        <v>19</v>
      </c>
      <c r="L22" s="26" t="s">
        <v>28</v>
      </c>
      <c r="M22" s="27" t="s">
        <v>52</v>
      </c>
    </row>
    <row r="23" customFormat="false" ht="25.5" hidden="false" customHeight="true" outlineLevel="0" collapsed="false">
      <c r="A23" s="39" t="s">
        <v>53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</row>
    <row r="24" customFormat="false" ht="31.5" hidden="false" customHeight="true" outlineLevel="0" collapsed="false">
      <c r="A24" s="40"/>
      <c r="B24" s="41" t="s">
        <v>54</v>
      </c>
      <c r="C24" s="42" t="s">
        <v>55</v>
      </c>
      <c r="D24" s="43" t="n">
        <v>3</v>
      </c>
      <c r="E24" s="18"/>
      <c r="F24" s="18"/>
      <c r="G24" s="44" t="s">
        <v>40</v>
      </c>
      <c r="H24" s="18"/>
      <c r="I24" s="18"/>
      <c r="J24" s="18"/>
      <c r="K24" s="19" t="s">
        <v>19</v>
      </c>
      <c r="L24" s="20" t="s">
        <v>20</v>
      </c>
      <c r="M24" s="45" t="s">
        <v>56</v>
      </c>
    </row>
    <row r="25" customFormat="false" ht="19.5" hidden="false" customHeight="true" outlineLevel="0" collapsed="false">
      <c r="A25" s="40"/>
      <c r="B25" s="46" t="s">
        <v>54</v>
      </c>
      <c r="C25" s="23" t="s">
        <v>57</v>
      </c>
      <c r="D25" s="47" t="n">
        <v>5</v>
      </c>
      <c r="E25" s="18"/>
      <c r="F25" s="18"/>
      <c r="G25" s="44" t="s">
        <v>58</v>
      </c>
      <c r="H25" s="44" t="s">
        <v>58</v>
      </c>
      <c r="I25" s="18"/>
      <c r="J25" s="18"/>
      <c r="K25" s="19" t="s">
        <v>19</v>
      </c>
      <c r="L25" s="26" t="s">
        <v>28</v>
      </c>
      <c r="M25" s="27" t="s">
        <v>59</v>
      </c>
    </row>
    <row r="26" customFormat="false" ht="19.5" hidden="false" customHeight="true" outlineLevel="0" collapsed="false">
      <c r="A26" s="40"/>
      <c r="B26" s="41" t="s">
        <v>54</v>
      </c>
      <c r="C26" s="42" t="s">
        <v>60</v>
      </c>
      <c r="D26" s="43" t="n">
        <v>2</v>
      </c>
      <c r="E26" s="18"/>
      <c r="F26" s="18"/>
      <c r="G26" s="18"/>
      <c r="H26" s="44" t="s">
        <v>43</v>
      </c>
      <c r="I26" s="18"/>
      <c r="J26" s="18"/>
      <c r="K26" s="19" t="s">
        <v>19</v>
      </c>
      <c r="L26" s="26" t="s">
        <v>28</v>
      </c>
      <c r="M26" s="48" t="s">
        <v>61</v>
      </c>
    </row>
    <row r="27" customFormat="false" ht="31.5" hidden="false" customHeight="true" outlineLevel="0" collapsed="false">
      <c r="A27" s="40"/>
      <c r="B27" s="46" t="s">
        <v>54</v>
      </c>
      <c r="C27" s="23" t="s">
        <v>62</v>
      </c>
      <c r="D27" s="47" t="n">
        <v>5</v>
      </c>
      <c r="E27" s="18"/>
      <c r="F27" s="18"/>
      <c r="G27" s="18"/>
      <c r="H27" s="44" t="s">
        <v>51</v>
      </c>
      <c r="I27" s="18"/>
      <c r="J27" s="18"/>
      <c r="K27" s="19" t="s">
        <v>19</v>
      </c>
      <c r="L27" s="26" t="s">
        <v>28</v>
      </c>
      <c r="M27" s="25" t="s">
        <v>63</v>
      </c>
    </row>
    <row r="28" customFormat="false" ht="19.5" hidden="false" customHeight="true" outlineLevel="0" collapsed="false">
      <c r="A28" s="40"/>
      <c r="B28" s="41" t="s">
        <v>54</v>
      </c>
      <c r="C28" s="42" t="s">
        <v>64</v>
      </c>
      <c r="D28" s="43" t="n">
        <v>2</v>
      </c>
      <c r="E28" s="18"/>
      <c r="F28" s="18"/>
      <c r="G28" s="18"/>
      <c r="H28" s="44" t="s">
        <v>43</v>
      </c>
      <c r="I28" s="18"/>
      <c r="J28" s="18"/>
      <c r="K28" s="19" t="s">
        <v>19</v>
      </c>
      <c r="L28" s="26" t="s">
        <v>28</v>
      </c>
      <c r="M28" s="48" t="s">
        <v>65</v>
      </c>
    </row>
    <row r="29" customFormat="false" ht="19.5" hidden="false" customHeight="true" outlineLevel="0" collapsed="false">
      <c r="A29" s="40"/>
      <c r="B29" s="46" t="s">
        <v>54</v>
      </c>
      <c r="C29" s="23" t="s">
        <v>66</v>
      </c>
      <c r="D29" s="47" t="n">
        <v>2</v>
      </c>
      <c r="E29" s="18"/>
      <c r="F29" s="18"/>
      <c r="G29" s="18"/>
      <c r="H29" s="44" t="s">
        <v>43</v>
      </c>
      <c r="I29" s="18"/>
      <c r="J29" s="18"/>
      <c r="K29" s="19" t="s">
        <v>19</v>
      </c>
      <c r="L29" s="37" t="s">
        <v>48</v>
      </c>
      <c r="M29" s="27" t="s">
        <v>67</v>
      </c>
    </row>
    <row r="30" customFormat="false" ht="19.5" hidden="false" customHeight="true" outlineLevel="0" collapsed="false">
      <c r="A30" s="40"/>
      <c r="B30" s="41" t="s">
        <v>54</v>
      </c>
      <c r="C30" s="42" t="s">
        <v>68</v>
      </c>
      <c r="D30" s="43" t="n">
        <v>3</v>
      </c>
      <c r="E30" s="18"/>
      <c r="F30" s="18"/>
      <c r="G30" s="18"/>
      <c r="H30" s="44" t="s">
        <v>40</v>
      </c>
      <c r="I30" s="18"/>
      <c r="J30" s="18"/>
      <c r="K30" s="19" t="s">
        <v>19</v>
      </c>
      <c r="L30" s="26" t="s">
        <v>28</v>
      </c>
      <c r="M30" s="48" t="s">
        <v>69</v>
      </c>
    </row>
    <row r="31" customFormat="false" ht="19.5" hidden="false" customHeight="true" outlineLevel="0" collapsed="false">
      <c r="A31" s="40"/>
      <c r="B31" s="46" t="s">
        <v>54</v>
      </c>
      <c r="C31" s="23" t="s">
        <v>70</v>
      </c>
      <c r="D31" s="47" t="n">
        <v>6</v>
      </c>
      <c r="E31" s="18"/>
      <c r="F31" s="18"/>
      <c r="G31" s="18"/>
      <c r="H31" s="44" t="s">
        <v>71</v>
      </c>
      <c r="I31" s="18"/>
      <c r="J31" s="18"/>
      <c r="K31" s="19" t="s">
        <v>19</v>
      </c>
      <c r="L31" s="26" t="s">
        <v>28</v>
      </c>
      <c r="M31" s="27" t="s">
        <v>72</v>
      </c>
    </row>
    <row r="32" customFormat="false" ht="25.5" hidden="false" customHeight="true" outlineLevel="0" collapsed="false">
      <c r="A32" s="49" t="s">
        <v>73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</row>
    <row r="33" customFormat="false" ht="19.5" hidden="false" customHeight="true" outlineLevel="0" collapsed="false">
      <c r="A33" s="50"/>
      <c r="B33" s="51" t="s">
        <v>74</v>
      </c>
      <c r="C33" s="52" t="s">
        <v>75</v>
      </c>
      <c r="D33" s="53" t="n">
        <v>2</v>
      </c>
      <c r="E33" s="18"/>
      <c r="F33" s="18"/>
      <c r="G33" s="18"/>
      <c r="H33" s="18"/>
      <c r="I33" s="54" t="s">
        <v>43</v>
      </c>
      <c r="J33" s="18"/>
      <c r="K33" s="19" t="s">
        <v>19</v>
      </c>
      <c r="L33" s="26" t="s">
        <v>28</v>
      </c>
      <c r="M33" s="55" t="s">
        <v>76</v>
      </c>
    </row>
    <row r="34" customFormat="false" ht="19.5" hidden="false" customHeight="true" outlineLevel="0" collapsed="false">
      <c r="A34" s="50"/>
      <c r="B34" s="56" t="s">
        <v>74</v>
      </c>
      <c r="C34" s="23" t="s">
        <v>77</v>
      </c>
      <c r="D34" s="57" t="n">
        <v>2</v>
      </c>
      <c r="E34" s="18"/>
      <c r="F34" s="18"/>
      <c r="G34" s="18"/>
      <c r="H34" s="18"/>
      <c r="I34" s="54" t="s">
        <v>43</v>
      </c>
      <c r="J34" s="18"/>
      <c r="K34" s="19" t="s">
        <v>19</v>
      </c>
      <c r="L34" s="26" t="s">
        <v>28</v>
      </c>
      <c r="M34" s="27" t="s">
        <v>78</v>
      </c>
    </row>
    <row r="35" customFormat="false" ht="19.5" hidden="false" customHeight="true" outlineLevel="0" collapsed="false">
      <c r="A35" s="50"/>
      <c r="B35" s="51" t="s">
        <v>74</v>
      </c>
      <c r="C35" s="52" t="s">
        <v>79</v>
      </c>
      <c r="D35" s="53" t="n">
        <v>2</v>
      </c>
      <c r="E35" s="18"/>
      <c r="F35" s="18"/>
      <c r="G35" s="18"/>
      <c r="H35" s="18"/>
      <c r="I35" s="54" t="s">
        <v>43</v>
      </c>
      <c r="J35" s="18"/>
      <c r="K35" s="19" t="s">
        <v>19</v>
      </c>
      <c r="L35" s="26" t="s">
        <v>28</v>
      </c>
      <c r="M35" s="55" t="s">
        <v>80</v>
      </c>
    </row>
    <row r="36" customFormat="false" ht="31.5" hidden="false" customHeight="true" outlineLevel="0" collapsed="false">
      <c r="A36" s="50"/>
      <c r="B36" s="56" t="s">
        <v>74</v>
      </c>
      <c r="C36" s="23" t="s">
        <v>81</v>
      </c>
      <c r="D36" s="57" t="n">
        <v>2.5</v>
      </c>
      <c r="E36" s="18"/>
      <c r="F36" s="18"/>
      <c r="G36" s="18"/>
      <c r="H36" s="18"/>
      <c r="I36" s="54" t="s">
        <v>58</v>
      </c>
      <c r="J36" s="18"/>
      <c r="K36" s="19" t="s">
        <v>19</v>
      </c>
      <c r="L36" s="26" t="s">
        <v>28</v>
      </c>
      <c r="M36" s="25" t="s">
        <v>82</v>
      </c>
    </row>
    <row r="37" customFormat="false" ht="19.5" hidden="false" customHeight="true" outlineLevel="0" collapsed="false">
      <c r="A37" s="50"/>
      <c r="B37" s="51" t="s">
        <v>74</v>
      </c>
      <c r="C37" s="52" t="s">
        <v>83</v>
      </c>
      <c r="D37" s="53" t="n">
        <v>2</v>
      </c>
      <c r="E37" s="18"/>
      <c r="F37" s="18"/>
      <c r="G37" s="18"/>
      <c r="H37" s="18"/>
      <c r="I37" s="54" t="s">
        <v>43</v>
      </c>
      <c r="J37" s="18"/>
      <c r="K37" s="19" t="s">
        <v>19</v>
      </c>
      <c r="L37" s="37" t="s">
        <v>48</v>
      </c>
      <c r="M37" s="55" t="s">
        <v>84</v>
      </c>
    </row>
    <row r="38" customFormat="false" ht="19.5" hidden="false" customHeight="true" outlineLevel="0" collapsed="false">
      <c r="A38" s="50"/>
      <c r="B38" s="56" t="s">
        <v>74</v>
      </c>
      <c r="C38" s="23" t="s">
        <v>85</v>
      </c>
      <c r="D38" s="57" t="n">
        <v>1</v>
      </c>
      <c r="E38" s="18"/>
      <c r="F38" s="18"/>
      <c r="G38" s="18"/>
      <c r="H38" s="18"/>
      <c r="I38" s="54" t="s">
        <v>86</v>
      </c>
      <c r="J38" s="54" t="s">
        <v>86</v>
      </c>
      <c r="K38" s="19" t="s">
        <v>19</v>
      </c>
      <c r="L38" s="37" t="s">
        <v>48</v>
      </c>
      <c r="M38" s="27" t="s">
        <v>87</v>
      </c>
    </row>
    <row r="39" customFormat="false" ht="19.5" hidden="false" customHeight="true" outlineLevel="0" collapsed="false">
      <c r="A39" s="50"/>
      <c r="B39" s="51" t="s">
        <v>74</v>
      </c>
      <c r="C39" s="52" t="s">
        <v>88</v>
      </c>
      <c r="D39" s="53" t="n">
        <v>2</v>
      </c>
      <c r="E39" s="18"/>
      <c r="F39" s="18"/>
      <c r="G39" s="18"/>
      <c r="H39" s="18"/>
      <c r="I39" s="54" t="s">
        <v>18</v>
      </c>
      <c r="J39" s="54" t="s">
        <v>18</v>
      </c>
      <c r="K39" s="19" t="s">
        <v>19</v>
      </c>
      <c r="L39" s="26" t="s">
        <v>28</v>
      </c>
      <c r="M39" s="55" t="s">
        <v>89</v>
      </c>
    </row>
    <row r="40" customFormat="false" ht="19.5" hidden="false" customHeight="true" outlineLevel="0" collapsed="false">
      <c r="A40" s="50"/>
      <c r="B40" s="56" t="s">
        <v>74</v>
      </c>
      <c r="C40" s="23" t="s">
        <v>90</v>
      </c>
      <c r="D40" s="57" t="n">
        <v>1.5</v>
      </c>
      <c r="E40" s="18"/>
      <c r="F40" s="18"/>
      <c r="G40" s="18"/>
      <c r="H40" s="18"/>
      <c r="I40" s="18"/>
      <c r="J40" s="54" t="s">
        <v>23</v>
      </c>
      <c r="K40" s="19" t="s">
        <v>19</v>
      </c>
      <c r="L40" s="26" t="s">
        <v>28</v>
      </c>
      <c r="M40" s="27" t="s">
        <v>91</v>
      </c>
    </row>
    <row r="41" customFormat="false" ht="25.5" hidden="false" customHeight="true" outlineLevel="0" collapsed="false">
      <c r="A41" s="58" t="s">
        <v>92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</row>
    <row r="42" customFormat="false" ht="19.5" hidden="false" customHeight="true" outlineLevel="0" collapsed="false">
      <c r="A42" s="59"/>
      <c r="B42" s="60" t="s">
        <v>93</v>
      </c>
      <c r="C42" s="61" t="s">
        <v>94</v>
      </c>
      <c r="D42" s="62" t="n">
        <v>2</v>
      </c>
      <c r="E42" s="18"/>
      <c r="F42" s="18"/>
      <c r="G42" s="18"/>
      <c r="H42" s="18"/>
      <c r="I42" s="18"/>
      <c r="J42" s="63" t="s">
        <v>43</v>
      </c>
      <c r="K42" s="19" t="s">
        <v>19</v>
      </c>
      <c r="L42" s="26" t="s">
        <v>28</v>
      </c>
      <c r="M42" s="64" t="s">
        <v>95</v>
      </c>
    </row>
    <row r="43" customFormat="false" ht="19.5" hidden="false" customHeight="true" outlineLevel="0" collapsed="false">
      <c r="A43" s="59"/>
      <c r="B43" s="65" t="s">
        <v>93</v>
      </c>
      <c r="C43" s="23" t="s">
        <v>96</v>
      </c>
      <c r="D43" s="66" t="n">
        <v>2</v>
      </c>
      <c r="E43" s="18"/>
      <c r="F43" s="18"/>
      <c r="G43" s="18"/>
      <c r="H43" s="18"/>
      <c r="I43" s="18"/>
      <c r="J43" s="63" t="s">
        <v>43</v>
      </c>
      <c r="K43" s="19" t="s">
        <v>19</v>
      </c>
      <c r="L43" s="26" t="s">
        <v>28</v>
      </c>
      <c r="M43" s="27" t="s">
        <v>97</v>
      </c>
    </row>
    <row r="44" customFormat="false" ht="31.5" hidden="false" customHeight="true" outlineLevel="0" collapsed="false">
      <c r="A44" s="59"/>
      <c r="B44" s="60" t="s">
        <v>93</v>
      </c>
      <c r="C44" s="61" t="s">
        <v>98</v>
      </c>
      <c r="D44" s="62" t="n">
        <v>2</v>
      </c>
      <c r="E44" s="18"/>
      <c r="F44" s="18"/>
      <c r="G44" s="18"/>
      <c r="H44" s="18"/>
      <c r="I44" s="18"/>
      <c r="J44" s="63" t="s">
        <v>43</v>
      </c>
      <c r="K44" s="19" t="s">
        <v>19</v>
      </c>
      <c r="L44" s="20" t="s">
        <v>20</v>
      </c>
      <c r="M44" s="67" t="s">
        <v>99</v>
      </c>
    </row>
    <row r="45" customFormat="false" ht="19.5" hidden="false" customHeight="true" outlineLevel="0" collapsed="false">
      <c r="A45" s="59"/>
      <c r="B45" s="65" t="s">
        <v>93</v>
      </c>
      <c r="C45" s="23" t="s">
        <v>100</v>
      </c>
      <c r="D45" s="66" t="n">
        <v>1</v>
      </c>
      <c r="E45" s="18"/>
      <c r="F45" s="18"/>
      <c r="G45" s="18"/>
      <c r="H45" s="18"/>
      <c r="I45" s="18"/>
      <c r="J45" s="63" t="s">
        <v>18</v>
      </c>
      <c r="K45" s="19" t="s">
        <v>19</v>
      </c>
      <c r="L45" s="37" t="s">
        <v>48</v>
      </c>
      <c r="M45" s="27" t="s">
        <v>101</v>
      </c>
    </row>
    <row r="46" customFormat="false" ht="18" hidden="false" customHeight="true" outlineLevel="0" collapsed="false"/>
    <row r="47" customFormat="false" ht="24" hidden="false" customHeight="true" outlineLevel="0" collapsed="false">
      <c r="A47" s="28" t="s">
        <v>102</v>
      </c>
      <c r="B47" s="28"/>
      <c r="C47" s="28"/>
      <c r="D47" s="68" t="n">
        <v>70</v>
      </c>
      <c r="E47" s="68" t="n">
        <v>8</v>
      </c>
      <c r="F47" s="68" t="n">
        <v>11.5</v>
      </c>
      <c r="G47" s="68" t="n">
        <v>13</v>
      </c>
      <c r="H47" s="68" t="n">
        <v>22.5</v>
      </c>
      <c r="I47" s="68" t="n">
        <v>12</v>
      </c>
      <c r="J47" s="68" t="n">
        <v>10</v>
      </c>
      <c r="K47" s="69"/>
      <c r="L47" s="69"/>
      <c r="M47" s="69"/>
    </row>
    <row r="48" customFormat="false" ht="18" hidden="false" customHeight="true" outlineLevel="0" collapsed="false"/>
    <row r="49" customFormat="false" ht="15.75" hidden="false" customHeight="true" outlineLevel="0" collapsed="false">
      <c r="B49" s="70" t="s">
        <v>103</v>
      </c>
      <c r="C49" s="71" t="s">
        <v>16</v>
      </c>
      <c r="D49" s="72" t="s">
        <v>33</v>
      </c>
      <c r="E49" s="73" t="s">
        <v>54</v>
      </c>
      <c r="F49" s="74" t="s">
        <v>74</v>
      </c>
      <c r="G49" s="75" t="s">
        <v>93</v>
      </c>
    </row>
    <row r="50" customFormat="false" ht="15.75" hidden="false" customHeight="true" outlineLevel="0" collapsed="false">
      <c r="B50" s="70" t="s">
        <v>104</v>
      </c>
      <c r="C50" s="76" t="s">
        <v>19</v>
      </c>
      <c r="D50" s="77" t="s">
        <v>105</v>
      </c>
      <c r="E50" s="78" t="s">
        <v>106</v>
      </c>
      <c r="F50" s="79" t="s">
        <v>107</v>
      </c>
    </row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</sheetData>
  <mergeCells count="12">
    <mergeCell ref="A1:M1"/>
    <mergeCell ref="A2:H2"/>
    <mergeCell ref="A3:H3"/>
    <mergeCell ref="A4:M4"/>
    <mergeCell ref="A5:C5"/>
    <mergeCell ref="A6:M6"/>
    <mergeCell ref="A9:M9"/>
    <mergeCell ref="A15:M15"/>
    <mergeCell ref="A23:M23"/>
    <mergeCell ref="A32:M32"/>
    <mergeCell ref="A41:M41"/>
    <mergeCell ref="A47:C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J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48"/>
    <col collapsed="false" customWidth="true" hidden="false" outlineLevel="0" max="6" min="5" style="0" width="8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24"/>
  </cols>
  <sheetData>
    <row r="1" customFormat="false" ht="7.5" hidden="false" customHeight="true" outlineLevel="0" collapsed="false"/>
    <row r="2" customFormat="false" ht="36" hidden="false" customHeight="true" outlineLevel="0" collapsed="false">
      <c r="A2" s="80" t="s">
        <v>108</v>
      </c>
      <c r="B2" s="80"/>
      <c r="C2" s="80"/>
      <c r="D2" s="80"/>
      <c r="E2" s="80"/>
      <c r="F2" s="80"/>
      <c r="G2" s="80"/>
      <c r="H2" s="80"/>
      <c r="I2" s="80"/>
    </row>
    <row r="3" customFormat="false" ht="18" hidden="false" customHeight="true" outlineLevel="0" collapsed="false">
      <c r="A3" s="81" t="s">
        <v>109</v>
      </c>
      <c r="B3" s="81"/>
      <c r="C3" s="81"/>
      <c r="D3" s="81"/>
      <c r="E3" s="81"/>
      <c r="F3" s="81"/>
      <c r="G3" s="81"/>
      <c r="H3" s="81"/>
      <c r="I3" s="81"/>
    </row>
    <row r="4" customFormat="false" ht="7.5" hidden="false" customHeight="true" outlineLevel="0" collapsed="false">
      <c r="A4" s="82"/>
      <c r="B4" s="82"/>
      <c r="C4" s="82"/>
      <c r="D4" s="82"/>
      <c r="E4" s="82"/>
      <c r="F4" s="82"/>
      <c r="G4" s="82"/>
      <c r="H4" s="82"/>
      <c r="I4" s="82"/>
    </row>
    <row r="5" customFormat="false" ht="30" hidden="false" customHeight="true" outlineLevel="0" collapsed="false">
      <c r="A5" s="83"/>
      <c r="B5" s="83" t="s">
        <v>3</v>
      </c>
      <c r="C5" s="83" t="s">
        <v>4</v>
      </c>
      <c r="D5" s="83" t="s">
        <v>110</v>
      </c>
      <c r="E5" s="83" t="s">
        <v>111</v>
      </c>
      <c r="F5" s="83" t="s">
        <v>112</v>
      </c>
      <c r="G5" s="83" t="s">
        <v>12</v>
      </c>
      <c r="H5" s="83" t="s">
        <v>13</v>
      </c>
      <c r="I5" s="83" t="s">
        <v>113</v>
      </c>
      <c r="J5" s="83" t="s">
        <v>114</v>
      </c>
    </row>
    <row r="6" customFormat="false" ht="21.75" hidden="false" customHeight="true" outlineLevel="0" collapsed="false">
      <c r="A6" s="84" t="s">
        <v>115</v>
      </c>
      <c r="B6" s="84"/>
      <c r="C6" s="84"/>
      <c r="D6" s="84"/>
      <c r="E6" s="84"/>
      <c r="F6" s="84"/>
      <c r="G6" s="84"/>
      <c r="H6" s="84"/>
      <c r="I6" s="84"/>
    </row>
    <row r="7" customFormat="false" ht="33.75" hidden="false" customHeight="true" outlineLevel="0" collapsed="false">
      <c r="A7" s="13"/>
      <c r="B7" s="14" t="s">
        <v>16</v>
      </c>
      <c r="C7" s="15" t="s">
        <v>116</v>
      </c>
      <c r="D7" s="85" t="s">
        <v>21</v>
      </c>
      <c r="E7" s="16" t="n">
        <v>1</v>
      </c>
      <c r="F7" s="86"/>
      <c r="G7" s="19" t="s">
        <v>19</v>
      </c>
      <c r="H7" s="20" t="s">
        <v>20</v>
      </c>
      <c r="I7" s="87" t="s">
        <v>117</v>
      </c>
      <c r="J7" s="21" t="s">
        <v>6</v>
      </c>
    </row>
    <row r="8" customFormat="false" ht="33.75" hidden="false" customHeight="true" outlineLevel="0" collapsed="false">
      <c r="A8" s="13"/>
      <c r="B8" s="22" t="s">
        <v>16</v>
      </c>
      <c r="C8" s="23" t="s">
        <v>118</v>
      </c>
      <c r="D8" s="88" t="s">
        <v>119</v>
      </c>
      <c r="E8" s="24" t="n">
        <v>1.5</v>
      </c>
      <c r="F8" s="86"/>
      <c r="G8" s="19" t="s">
        <v>19</v>
      </c>
      <c r="H8" s="20" t="s">
        <v>20</v>
      </c>
      <c r="I8" s="87" t="s">
        <v>117</v>
      </c>
      <c r="J8" s="27" t="s">
        <v>120</v>
      </c>
    </row>
    <row r="9" customFormat="false" ht="33.75" hidden="false" customHeight="true" outlineLevel="0" collapsed="false">
      <c r="A9" s="13"/>
      <c r="B9" s="14" t="s">
        <v>16</v>
      </c>
      <c r="C9" s="15" t="s">
        <v>25</v>
      </c>
      <c r="D9" s="85" t="s">
        <v>26</v>
      </c>
      <c r="E9" s="16" t="n">
        <v>1.5</v>
      </c>
      <c r="F9" s="86"/>
      <c r="G9" s="19" t="s">
        <v>19</v>
      </c>
      <c r="H9" s="20" t="s">
        <v>20</v>
      </c>
      <c r="I9" s="89"/>
      <c r="J9" s="21" t="s">
        <v>6</v>
      </c>
    </row>
    <row r="10" customFormat="false" ht="33.75" hidden="false" customHeight="true" outlineLevel="0" collapsed="false">
      <c r="A10" s="13"/>
      <c r="B10" s="22" t="s">
        <v>16</v>
      </c>
      <c r="C10" s="23" t="s">
        <v>121</v>
      </c>
      <c r="D10" s="88" t="s">
        <v>29</v>
      </c>
      <c r="E10" s="24" t="n">
        <v>1.5</v>
      </c>
      <c r="F10" s="86"/>
      <c r="G10" s="19" t="s">
        <v>19</v>
      </c>
      <c r="H10" s="26" t="s">
        <v>28</v>
      </c>
      <c r="I10" s="87" t="s">
        <v>117</v>
      </c>
      <c r="J10" s="27" t="s">
        <v>6</v>
      </c>
    </row>
    <row r="11" customFormat="false" ht="33.75" hidden="false" customHeight="true" outlineLevel="0" collapsed="false">
      <c r="A11" s="13"/>
      <c r="B11" s="14" t="s">
        <v>16</v>
      </c>
      <c r="C11" s="15" t="s">
        <v>30</v>
      </c>
      <c r="D11" s="85" t="s">
        <v>31</v>
      </c>
      <c r="E11" s="16" t="n">
        <v>1.5</v>
      </c>
      <c r="F11" s="86"/>
      <c r="G11" s="19" t="s">
        <v>19</v>
      </c>
      <c r="H11" s="20" t="s">
        <v>20</v>
      </c>
      <c r="I11" s="89"/>
      <c r="J11" s="21" t="s">
        <v>6</v>
      </c>
    </row>
    <row r="12" customFormat="false" ht="21.75" hidden="false" customHeight="true" outlineLevel="0" collapsed="false">
      <c r="A12" s="90" t="s">
        <v>122</v>
      </c>
      <c r="B12" s="90"/>
      <c r="C12" s="90"/>
      <c r="D12" s="90"/>
      <c r="E12" s="90"/>
      <c r="F12" s="90"/>
      <c r="G12" s="90"/>
      <c r="H12" s="90"/>
      <c r="I12" s="90"/>
    </row>
    <row r="13" customFormat="false" ht="33.75" hidden="false" customHeight="true" outlineLevel="0" collapsed="false">
      <c r="A13" s="29"/>
      <c r="B13" s="30" t="s">
        <v>33</v>
      </c>
      <c r="C13" s="23" t="s">
        <v>123</v>
      </c>
      <c r="D13" s="88" t="s">
        <v>124</v>
      </c>
      <c r="E13" s="31" t="n">
        <v>2</v>
      </c>
      <c r="F13" s="86"/>
      <c r="G13" s="19" t="s">
        <v>19</v>
      </c>
      <c r="H13" s="20" t="s">
        <v>20</v>
      </c>
      <c r="I13" s="87" t="s">
        <v>117</v>
      </c>
      <c r="J13" s="27" t="s">
        <v>125</v>
      </c>
    </row>
    <row r="14" customFormat="false" ht="33.75" hidden="false" customHeight="true" outlineLevel="0" collapsed="false">
      <c r="A14" s="29"/>
      <c r="B14" s="33" t="s">
        <v>33</v>
      </c>
      <c r="C14" s="34" t="s">
        <v>126</v>
      </c>
      <c r="D14" s="91" t="s">
        <v>127</v>
      </c>
      <c r="E14" s="35" t="n">
        <v>4</v>
      </c>
      <c r="F14" s="86"/>
      <c r="G14" s="19" t="s">
        <v>19</v>
      </c>
      <c r="H14" s="20" t="s">
        <v>20</v>
      </c>
      <c r="I14" s="87" t="s">
        <v>117</v>
      </c>
      <c r="J14" s="38" t="s">
        <v>128</v>
      </c>
    </row>
    <row r="15" customFormat="false" ht="33.75" hidden="false" customHeight="true" outlineLevel="0" collapsed="false">
      <c r="A15" s="29"/>
      <c r="B15" s="30" t="s">
        <v>33</v>
      </c>
      <c r="C15" s="23" t="s">
        <v>129</v>
      </c>
      <c r="D15" s="88" t="s">
        <v>130</v>
      </c>
      <c r="E15" s="31" t="n">
        <v>3</v>
      </c>
      <c r="F15" s="86"/>
      <c r="G15" s="19" t="s">
        <v>19</v>
      </c>
      <c r="H15" s="26" t="s">
        <v>28</v>
      </c>
      <c r="I15" s="87" t="s">
        <v>117</v>
      </c>
      <c r="J15" s="27" t="s">
        <v>131</v>
      </c>
    </row>
    <row r="16" customFormat="false" ht="33.75" hidden="false" customHeight="true" outlineLevel="0" collapsed="false">
      <c r="A16" s="29"/>
      <c r="B16" s="33" t="s">
        <v>33</v>
      </c>
      <c r="C16" s="34" t="s">
        <v>132</v>
      </c>
      <c r="D16" s="91" t="s">
        <v>133</v>
      </c>
      <c r="E16" s="35" t="n">
        <v>2</v>
      </c>
      <c r="F16" s="86"/>
      <c r="G16" s="19" t="s">
        <v>19</v>
      </c>
      <c r="H16" s="26" t="s">
        <v>28</v>
      </c>
      <c r="I16" s="87" t="s">
        <v>117</v>
      </c>
      <c r="J16" s="38" t="s">
        <v>134</v>
      </c>
    </row>
    <row r="17" customFormat="false" ht="33.75" hidden="false" customHeight="true" outlineLevel="0" collapsed="false">
      <c r="A17" s="29"/>
      <c r="B17" s="30" t="s">
        <v>33</v>
      </c>
      <c r="C17" s="23" t="s">
        <v>135</v>
      </c>
      <c r="D17" s="88" t="s">
        <v>136</v>
      </c>
      <c r="E17" s="31" t="n">
        <v>3</v>
      </c>
      <c r="F17" s="86"/>
      <c r="G17" s="19" t="s">
        <v>19</v>
      </c>
      <c r="H17" s="26" t="s">
        <v>28</v>
      </c>
      <c r="I17" s="87" t="s">
        <v>117</v>
      </c>
      <c r="J17" s="27" t="s">
        <v>137</v>
      </c>
    </row>
    <row r="18" customFormat="false" ht="33.75" hidden="false" customHeight="true" outlineLevel="0" collapsed="false">
      <c r="A18" s="29"/>
      <c r="B18" s="33" t="s">
        <v>33</v>
      </c>
      <c r="C18" s="34" t="s">
        <v>47</v>
      </c>
      <c r="D18" s="91" t="s">
        <v>49</v>
      </c>
      <c r="E18" s="35" t="n">
        <v>1</v>
      </c>
      <c r="F18" s="86"/>
      <c r="G18" s="19" t="s">
        <v>19</v>
      </c>
      <c r="H18" s="37" t="s">
        <v>48</v>
      </c>
      <c r="I18" s="92"/>
      <c r="J18" s="38" t="s">
        <v>8</v>
      </c>
    </row>
    <row r="19" customFormat="false" ht="33.75" hidden="false" customHeight="true" outlineLevel="0" collapsed="false">
      <c r="A19" s="29"/>
      <c r="B19" s="30" t="s">
        <v>33</v>
      </c>
      <c r="C19" s="23" t="s">
        <v>138</v>
      </c>
      <c r="D19" s="88" t="s">
        <v>52</v>
      </c>
      <c r="E19" s="31" t="n">
        <v>5</v>
      </c>
      <c r="F19" s="86"/>
      <c r="G19" s="19" t="s">
        <v>19</v>
      </c>
      <c r="H19" s="26" t="s">
        <v>28</v>
      </c>
      <c r="I19" s="87" t="s">
        <v>117</v>
      </c>
      <c r="J19" s="27" t="s">
        <v>8</v>
      </c>
    </row>
    <row r="20" customFormat="false" ht="21.75" hidden="false" customHeight="true" outlineLevel="0" collapsed="false">
      <c r="A20" s="93" t="s">
        <v>139</v>
      </c>
      <c r="B20" s="93"/>
      <c r="C20" s="93"/>
      <c r="D20" s="93"/>
      <c r="E20" s="93"/>
      <c r="F20" s="93"/>
      <c r="G20" s="93"/>
      <c r="H20" s="93"/>
      <c r="I20" s="93"/>
    </row>
    <row r="21" customFormat="false" ht="33.75" hidden="false" customHeight="true" outlineLevel="0" collapsed="false">
      <c r="A21" s="40"/>
      <c r="B21" s="41" t="s">
        <v>54</v>
      </c>
      <c r="C21" s="42" t="s">
        <v>140</v>
      </c>
      <c r="D21" s="94" t="s">
        <v>141</v>
      </c>
      <c r="E21" s="43" t="n">
        <v>3</v>
      </c>
      <c r="F21" s="86"/>
      <c r="G21" s="19" t="s">
        <v>19</v>
      </c>
      <c r="H21" s="20" t="s">
        <v>20</v>
      </c>
      <c r="I21" s="87" t="s">
        <v>117</v>
      </c>
      <c r="J21" s="48" t="s">
        <v>142</v>
      </c>
    </row>
    <row r="22" customFormat="false" ht="33.75" hidden="false" customHeight="true" outlineLevel="0" collapsed="false">
      <c r="A22" s="40"/>
      <c r="B22" s="46" t="s">
        <v>54</v>
      </c>
      <c r="C22" s="23" t="s">
        <v>143</v>
      </c>
      <c r="D22" s="88" t="s">
        <v>59</v>
      </c>
      <c r="E22" s="47" t="n">
        <v>5</v>
      </c>
      <c r="F22" s="86"/>
      <c r="G22" s="19" t="s">
        <v>19</v>
      </c>
      <c r="H22" s="26" t="s">
        <v>28</v>
      </c>
      <c r="I22" s="87" t="s">
        <v>117</v>
      </c>
      <c r="J22" s="27" t="s">
        <v>144</v>
      </c>
    </row>
    <row r="23" customFormat="false" ht="33.75" hidden="false" customHeight="true" outlineLevel="0" collapsed="false">
      <c r="A23" s="40"/>
      <c r="B23" s="41" t="s">
        <v>54</v>
      </c>
      <c r="C23" s="42" t="s">
        <v>60</v>
      </c>
      <c r="D23" s="94" t="s">
        <v>61</v>
      </c>
      <c r="E23" s="43" t="n">
        <v>2</v>
      </c>
      <c r="F23" s="86"/>
      <c r="G23" s="19" t="s">
        <v>19</v>
      </c>
      <c r="H23" s="26" t="s">
        <v>28</v>
      </c>
      <c r="I23" s="95"/>
      <c r="J23" s="48" t="s">
        <v>9</v>
      </c>
    </row>
    <row r="24" customFormat="false" ht="33.75" hidden="false" customHeight="true" outlineLevel="0" collapsed="false">
      <c r="A24" s="40"/>
      <c r="B24" s="46" t="s">
        <v>54</v>
      </c>
      <c r="C24" s="23" t="s">
        <v>145</v>
      </c>
      <c r="D24" s="88" t="s">
        <v>146</v>
      </c>
      <c r="E24" s="47" t="n">
        <v>5</v>
      </c>
      <c r="F24" s="86"/>
      <c r="G24" s="19" t="s">
        <v>19</v>
      </c>
      <c r="H24" s="26" t="s">
        <v>28</v>
      </c>
      <c r="I24" s="87" t="s">
        <v>117</v>
      </c>
      <c r="J24" s="27" t="s">
        <v>147</v>
      </c>
    </row>
    <row r="25" customFormat="false" ht="33.75" hidden="false" customHeight="true" outlineLevel="0" collapsed="false">
      <c r="A25" s="40"/>
      <c r="B25" s="41" t="s">
        <v>54</v>
      </c>
      <c r="C25" s="42" t="s">
        <v>64</v>
      </c>
      <c r="D25" s="94" t="s">
        <v>65</v>
      </c>
      <c r="E25" s="43" t="n">
        <v>2</v>
      </c>
      <c r="F25" s="86"/>
      <c r="G25" s="19" t="s">
        <v>19</v>
      </c>
      <c r="H25" s="26" t="s">
        <v>28</v>
      </c>
      <c r="I25" s="95"/>
      <c r="J25" s="48" t="s">
        <v>9</v>
      </c>
    </row>
    <row r="26" customFormat="false" ht="33.75" hidden="false" customHeight="true" outlineLevel="0" collapsed="false">
      <c r="A26" s="40"/>
      <c r="B26" s="46" t="s">
        <v>54</v>
      </c>
      <c r="C26" s="23" t="s">
        <v>66</v>
      </c>
      <c r="D26" s="88" t="s">
        <v>67</v>
      </c>
      <c r="E26" s="47" t="n">
        <v>2</v>
      </c>
      <c r="F26" s="86"/>
      <c r="G26" s="19" t="s">
        <v>19</v>
      </c>
      <c r="H26" s="37" t="s">
        <v>48</v>
      </c>
      <c r="I26" s="96"/>
      <c r="J26" s="27" t="s">
        <v>9</v>
      </c>
    </row>
    <row r="27" customFormat="false" ht="33.75" hidden="false" customHeight="true" outlineLevel="0" collapsed="false">
      <c r="A27" s="40"/>
      <c r="B27" s="41" t="s">
        <v>54</v>
      </c>
      <c r="C27" s="42" t="s">
        <v>148</v>
      </c>
      <c r="D27" s="94" t="s">
        <v>69</v>
      </c>
      <c r="E27" s="43" t="n">
        <v>3</v>
      </c>
      <c r="F27" s="86"/>
      <c r="G27" s="19" t="s">
        <v>19</v>
      </c>
      <c r="H27" s="26" t="s">
        <v>28</v>
      </c>
      <c r="I27" s="87" t="s">
        <v>117</v>
      </c>
      <c r="J27" s="48" t="s">
        <v>9</v>
      </c>
    </row>
    <row r="28" customFormat="false" ht="33.75" hidden="false" customHeight="true" outlineLevel="0" collapsed="false">
      <c r="A28" s="40"/>
      <c r="B28" s="46" t="s">
        <v>54</v>
      </c>
      <c r="C28" s="23" t="s">
        <v>149</v>
      </c>
      <c r="D28" s="88" t="s">
        <v>72</v>
      </c>
      <c r="E28" s="47" t="n">
        <v>6</v>
      </c>
      <c r="F28" s="86"/>
      <c r="G28" s="19" t="s">
        <v>19</v>
      </c>
      <c r="H28" s="26" t="s">
        <v>28</v>
      </c>
      <c r="I28" s="87" t="s">
        <v>117</v>
      </c>
      <c r="J28" s="27" t="s">
        <v>9</v>
      </c>
    </row>
    <row r="29" customFormat="false" ht="21.75" hidden="false" customHeight="true" outlineLevel="0" collapsed="false">
      <c r="A29" s="97" t="s">
        <v>150</v>
      </c>
      <c r="B29" s="97"/>
      <c r="C29" s="97"/>
      <c r="D29" s="97"/>
      <c r="E29" s="97"/>
      <c r="F29" s="97"/>
      <c r="G29" s="97"/>
      <c r="H29" s="97"/>
      <c r="I29" s="97"/>
    </row>
    <row r="30" customFormat="false" ht="33.75" hidden="false" customHeight="true" outlineLevel="0" collapsed="false">
      <c r="A30" s="50"/>
      <c r="B30" s="51" t="s">
        <v>74</v>
      </c>
      <c r="C30" s="52" t="s">
        <v>151</v>
      </c>
      <c r="D30" s="98" t="s">
        <v>76</v>
      </c>
      <c r="E30" s="53" t="n">
        <v>2</v>
      </c>
      <c r="F30" s="86"/>
      <c r="G30" s="19" t="s">
        <v>19</v>
      </c>
      <c r="H30" s="26" t="s">
        <v>28</v>
      </c>
      <c r="I30" s="87" t="s">
        <v>117</v>
      </c>
      <c r="J30" s="55" t="s">
        <v>10</v>
      </c>
    </row>
    <row r="31" customFormat="false" ht="33.75" hidden="false" customHeight="true" outlineLevel="0" collapsed="false">
      <c r="A31" s="50"/>
      <c r="B31" s="56" t="s">
        <v>74</v>
      </c>
      <c r="C31" s="23" t="s">
        <v>152</v>
      </c>
      <c r="D31" s="88" t="s">
        <v>78</v>
      </c>
      <c r="E31" s="57" t="n">
        <v>2</v>
      </c>
      <c r="F31" s="86"/>
      <c r="G31" s="19" t="s">
        <v>19</v>
      </c>
      <c r="H31" s="26" t="s">
        <v>28</v>
      </c>
      <c r="I31" s="87" t="s">
        <v>117</v>
      </c>
      <c r="J31" s="27" t="s">
        <v>10</v>
      </c>
    </row>
    <row r="32" customFormat="false" ht="33.75" hidden="false" customHeight="true" outlineLevel="0" collapsed="false">
      <c r="A32" s="50"/>
      <c r="B32" s="51" t="s">
        <v>74</v>
      </c>
      <c r="C32" s="52" t="s">
        <v>153</v>
      </c>
      <c r="D32" s="98" t="s">
        <v>80</v>
      </c>
      <c r="E32" s="53" t="n">
        <v>2</v>
      </c>
      <c r="F32" s="86"/>
      <c r="G32" s="19" t="s">
        <v>19</v>
      </c>
      <c r="H32" s="26" t="s">
        <v>28</v>
      </c>
      <c r="I32" s="87" t="s">
        <v>117</v>
      </c>
      <c r="J32" s="55" t="s">
        <v>10</v>
      </c>
    </row>
    <row r="33" customFormat="false" ht="33.75" hidden="false" customHeight="true" outlineLevel="0" collapsed="false">
      <c r="A33" s="50"/>
      <c r="B33" s="56" t="s">
        <v>74</v>
      </c>
      <c r="C33" s="23" t="s">
        <v>154</v>
      </c>
      <c r="D33" s="88" t="s">
        <v>155</v>
      </c>
      <c r="E33" s="57" t="n">
        <v>2.5</v>
      </c>
      <c r="F33" s="86"/>
      <c r="G33" s="19" t="s">
        <v>19</v>
      </c>
      <c r="H33" s="26" t="s">
        <v>28</v>
      </c>
      <c r="I33" s="87" t="s">
        <v>117</v>
      </c>
      <c r="J33" s="27" t="s">
        <v>156</v>
      </c>
    </row>
    <row r="34" customFormat="false" ht="33.75" hidden="false" customHeight="true" outlineLevel="0" collapsed="false">
      <c r="A34" s="50"/>
      <c r="B34" s="51" t="s">
        <v>74</v>
      </c>
      <c r="C34" s="52" t="s">
        <v>157</v>
      </c>
      <c r="D34" s="98" t="s">
        <v>84</v>
      </c>
      <c r="E34" s="53" t="n">
        <v>2</v>
      </c>
      <c r="F34" s="86"/>
      <c r="G34" s="19" t="s">
        <v>19</v>
      </c>
      <c r="H34" s="37" t="s">
        <v>48</v>
      </c>
      <c r="I34" s="87" t="s">
        <v>117</v>
      </c>
      <c r="J34" s="55" t="s">
        <v>10</v>
      </c>
    </row>
    <row r="35" customFormat="false" ht="33.75" hidden="false" customHeight="true" outlineLevel="0" collapsed="false">
      <c r="A35" s="50"/>
      <c r="B35" s="56" t="s">
        <v>74</v>
      </c>
      <c r="C35" s="23" t="s">
        <v>85</v>
      </c>
      <c r="D35" s="88" t="s">
        <v>87</v>
      </c>
      <c r="E35" s="57" t="n">
        <v>1</v>
      </c>
      <c r="F35" s="86"/>
      <c r="G35" s="19" t="s">
        <v>19</v>
      </c>
      <c r="H35" s="37" t="s">
        <v>48</v>
      </c>
      <c r="I35" s="96"/>
      <c r="J35" s="27" t="s">
        <v>158</v>
      </c>
    </row>
    <row r="36" customFormat="false" ht="33.75" hidden="false" customHeight="true" outlineLevel="0" collapsed="false">
      <c r="A36" s="50"/>
      <c r="B36" s="51" t="s">
        <v>74</v>
      </c>
      <c r="C36" s="52" t="s">
        <v>159</v>
      </c>
      <c r="D36" s="98" t="s">
        <v>89</v>
      </c>
      <c r="E36" s="53" t="n">
        <v>2</v>
      </c>
      <c r="F36" s="86"/>
      <c r="G36" s="19" t="s">
        <v>19</v>
      </c>
      <c r="H36" s="26" t="s">
        <v>28</v>
      </c>
      <c r="I36" s="87" t="s">
        <v>117</v>
      </c>
      <c r="J36" s="55" t="s">
        <v>158</v>
      </c>
    </row>
    <row r="37" customFormat="false" ht="33.75" hidden="false" customHeight="true" outlineLevel="0" collapsed="false">
      <c r="A37" s="50"/>
      <c r="B37" s="56" t="s">
        <v>74</v>
      </c>
      <c r="C37" s="23" t="s">
        <v>90</v>
      </c>
      <c r="D37" s="88" t="s">
        <v>91</v>
      </c>
      <c r="E37" s="57" t="n">
        <v>1.5</v>
      </c>
      <c r="F37" s="86"/>
      <c r="G37" s="19" t="s">
        <v>19</v>
      </c>
      <c r="H37" s="26" t="s">
        <v>28</v>
      </c>
      <c r="I37" s="96"/>
      <c r="J37" s="27" t="s">
        <v>11</v>
      </c>
    </row>
    <row r="38" customFormat="false" ht="21.75" hidden="false" customHeight="true" outlineLevel="0" collapsed="false">
      <c r="A38" s="99" t="s">
        <v>160</v>
      </c>
      <c r="B38" s="99"/>
      <c r="C38" s="99"/>
      <c r="D38" s="99"/>
      <c r="E38" s="99"/>
      <c r="F38" s="99"/>
      <c r="G38" s="99"/>
      <c r="H38" s="99"/>
      <c r="I38" s="99"/>
    </row>
    <row r="39" customFormat="false" ht="33.75" hidden="false" customHeight="true" outlineLevel="0" collapsed="false">
      <c r="A39" s="59"/>
      <c r="B39" s="60" t="s">
        <v>93</v>
      </c>
      <c r="C39" s="61" t="s">
        <v>161</v>
      </c>
      <c r="D39" s="100" t="s">
        <v>95</v>
      </c>
      <c r="E39" s="62" t="n">
        <v>2</v>
      </c>
      <c r="F39" s="86"/>
      <c r="G39" s="19" t="s">
        <v>19</v>
      </c>
      <c r="H39" s="26" t="s">
        <v>28</v>
      </c>
      <c r="I39" s="87" t="s">
        <v>117</v>
      </c>
      <c r="J39" s="64" t="s">
        <v>11</v>
      </c>
    </row>
    <row r="40" customFormat="false" ht="33.75" hidden="false" customHeight="true" outlineLevel="0" collapsed="false">
      <c r="A40" s="59"/>
      <c r="B40" s="65" t="s">
        <v>93</v>
      </c>
      <c r="C40" s="23" t="s">
        <v>96</v>
      </c>
      <c r="D40" s="88" t="s">
        <v>97</v>
      </c>
      <c r="E40" s="66" t="n">
        <v>2</v>
      </c>
      <c r="F40" s="86"/>
      <c r="G40" s="19" t="s">
        <v>19</v>
      </c>
      <c r="H40" s="26" t="s">
        <v>28</v>
      </c>
      <c r="I40" s="96"/>
      <c r="J40" s="27" t="s">
        <v>11</v>
      </c>
    </row>
    <row r="41" customFormat="false" ht="33.75" hidden="false" customHeight="true" outlineLevel="0" collapsed="false">
      <c r="A41" s="59"/>
      <c r="B41" s="60" t="s">
        <v>93</v>
      </c>
      <c r="C41" s="61" t="s">
        <v>98</v>
      </c>
      <c r="D41" s="100" t="s">
        <v>162</v>
      </c>
      <c r="E41" s="62" t="n">
        <v>2</v>
      </c>
      <c r="F41" s="86"/>
      <c r="G41" s="19" t="s">
        <v>19</v>
      </c>
      <c r="H41" s="20" t="s">
        <v>20</v>
      </c>
      <c r="I41" s="101"/>
      <c r="J41" s="64" t="s">
        <v>163</v>
      </c>
    </row>
    <row r="42" customFormat="false" ht="33.75" hidden="false" customHeight="true" outlineLevel="0" collapsed="false">
      <c r="A42" s="59"/>
      <c r="B42" s="65" t="s">
        <v>93</v>
      </c>
      <c r="C42" s="23" t="s">
        <v>164</v>
      </c>
      <c r="D42" s="88" t="s">
        <v>101</v>
      </c>
      <c r="E42" s="66" t="n">
        <v>1</v>
      </c>
      <c r="F42" s="86"/>
      <c r="G42" s="19" t="s">
        <v>19</v>
      </c>
      <c r="H42" s="37" t="s">
        <v>48</v>
      </c>
      <c r="I42" s="87" t="s">
        <v>117</v>
      </c>
      <c r="J42" s="27" t="s">
        <v>11</v>
      </c>
    </row>
    <row r="44" customFormat="false" ht="19.5" hidden="false" customHeight="true" outlineLevel="0" collapsed="false">
      <c r="A44" s="102" t="s">
        <v>165</v>
      </c>
      <c r="B44" s="102"/>
      <c r="C44" s="102"/>
      <c r="D44" s="102"/>
      <c r="E44" s="103" t="n">
        <f aca="false">SUM(E7:E11)</f>
        <v>7</v>
      </c>
      <c r="F44" s="103" t="n">
        <f aca="false">SUM(F7:F11)</f>
        <v>0</v>
      </c>
      <c r="G44" s="104"/>
      <c r="H44" s="104"/>
      <c r="I44" s="104"/>
      <c r="J44" s="104"/>
    </row>
    <row r="45" customFormat="false" ht="19.5" hidden="false" customHeight="true" outlineLevel="0" collapsed="false">
      <c r="A45" s="105" t="s">
        <v>166</v>
      </c>
      <c r="B45" s="105"/>
      <c r="C45" s="105"/>
      <c r="D45" s="105"/>
      <c r="E45" s="106" t="n">
        <f aca="false">SUM(E13:E19)</f>
        <v>20</v>
      </c>
      <c r="F45" s="106" t="n">
        <f aca="false">SUM(F13:F19)</f>
        <v>0</v>
      </c>
      <c r="G45" s="107"/>
      <c r="H45" s="107"/>
      <c r="I45" s="107"/>
      <c r="J45" s="107"/>
    </row>
    <row r="46" customFormat="false" ht="19.5" hidden="false" customHeight="true" outlineLevel="0" collapsed="false">
      <c r="A46" s="108" t="s">
        <v>167</v>
      </c>
      <c r="B46" s="108"/>
      <c r="C46" s="108"/>
      <c r="D46" s="108"/>
      <c r="E46" s="109" t="n">
        <f aca="false">SUM(E21:E28)</f>
        <v>28</v>
      </c>
      <c r="F46" s="109" t="n">
        <f aca="false">SUM(F21:F28)</f>
        <v>0</v>
      </c>
      <c r="G46" s="110"/>
      <c r="H46" s="110"/>
      <c r="I46" s="110"/>
      <c r="J46" s="110"/>
    </row>
    <row r="47" customFormat="false" ht="19.5" hidden="false" customHeight="true" outlineLevel="0" collapsed="false">
      <c r="A47" s="111" t="s">
        <v>168</v>
      </c>
      <c r="B47" s="111"/>
      <c r="C47" s="111"/>
      <c r="D47" s="111"/>
      <c r="E47" s="112" t="n">
        <f aca="false">SUM(E30:E37)</f>
        <v>15</v>
      </c>
      <c r="F47" s="112" t="n">
        <f aca="false">SUM(F30:F37)</f>
        <v>0</v>
      </c>
      <c r="G47" s="113"/>
      <c r="H47" s="113"/>
      <c r="I47" s="113"/>
      <c r="J47" s="113"/>
    </row>
    <row r="48" customFormat="false" ht="19.5" hidden="false" customHeight="true" outlineLevel="0" collapsed="false">
      <c r="A48" s="114" t="s">
        <v>169</v>
      </c>
      <c r="B48" s="114"/>
      <c r="C48" s="114"/>
      <c r="D48" s="114"/>
      <c r="E48" s="115" t="n">
        <f aca="false">SUM(E39:E42)</f>
        <v>7</v>
      </c>
      <c r="F48" s="115" t="n">
        <f aca="false">SUM(F39:F42)</f>
        <v>0</v>
      </c>
      <c r="G48" s="116"/>
      <c r="H48" s="116"/>
      <c r="I48" s="116"/>
      <c r="J48" s="116"/>
    </row>
    <row r="50" customFormat="false" ht="24" hidden="false" customHeight="true" outlineLevel="0" collapsed="false">
      <c r="A50" s="117" t="s">
        <v>102</v>
      </c>
      <c r="B50" s="117"/>
      <c r="C50" s="117"/>
      <c r="D50" s="117"/>
      <c r="E50" s="118" t="n">
        <v>70</v>
      </c>
      <c r="F50" s="118" t="n">
        <f aca="false">SUM(F6:F47)</f>
        <v>0</v>
      </c>
      <c r="G50" s="119"/>
      <c r="H50" s="119"/>
      <c r="I50" s="119"/>
      <c r="J50" s="119"/>
    </row>
  </sheetData>
  <mergeCells count="14">
    <mergeCell ref="A2:I2"/>
    <mergeCell ref="A3:I3"/>
    <mergeCell ref="A4:I4"/>
    <mergeCell ref="A6:I6"/>
    <mergeCell ref="A12:I12"/>
    <mergeCell ref="A20:I20"/>
    <mergeCell ref="A29:I29"/>
    <mergeCell ref="A38:I38"/>
    <mergeCell ref="A44:D44"/>
    <mergeCell ref="A45:D45"/>
    <mergeCell ref="A46:D46"/>
    <mergeCell ref="A47:D47"/>
    <mergeCell ref="A48:D48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A0A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20" t="s">
        <v>170</v>
      </c>
      <c r="B2" s="120"/>
      <c r="C2" s="120"/>
      <c r="D2" s="120"/>
      <c r="E2" s="120"/>
      <c r="F2" s="120"/>
      <c r="G2" s="120"/>
      <c r="H2" s="120"/>
    </row>
    <row r="3" customFormat="false" ht="18" hidden="false" customHeight="true" outlineLevel="0" collapsed="false">
      <c r="A3" s="121" t="s">
        <v>171</v>
      </c>
      <c r="B3" s="121"/>
      <c r="C3" s="121"/>
      <c r="D3" s="121"/>
      <c r="E3" s="121"/>
      <c r="F3" s="121"/>
      <c r="G3" s="121"/>
      <c r="H3" s="121"/>
    </row>
    <row r="4" customFormat="false" ht="7.5" hidden="false" customHeight="true" outlineLevel="0" collapsed="false">
      <c r="A4" s="122"/>
      <c r="B4" s="122"/>
      <c r="C4" s="122"/>
      <c r="D4" s="122"/>
      <c r="E4" s="122"/>
      <c r="F4" s="122"/>
      <c r="G4" s="122"/>
      <c r="H4" s="122"/>
    </row>
    <row r="5" customFormat="false" ht="27.75" hidden="false" customHeight="true" outlineLevel="0" collapsed="false">
      <c r="A5" s="123" t="s">
        <v>172</v>
      </c>
      <c r="B5" s="123"/>
      <c r="C5" s="123"/>
      <c r="D5" s="123"/>
      <c r="E5" s="123"/>
      <c r="F5" s="123"/>
      <c r="G5" s="123"/>
      <c r="H5" s="123"/>
    </row>
    <row r="6" customFormat="false" ht="27.75" hidden="false" customHeight="true" outlineLevel="0" collapsed="false">
      <c r="A6" s="124"/>
      <c r="B6" s="124" t="s">
        <v>173</v>
      </c>
      <c r="C6" s="124" t="s">
        <v>174</v>
      </c>
      <c r="D6" s="124" t="s">
        <v>175</v>
      </c>
      <c r="E6" s="124" t="s">
        <v>176</v>
      </c>
      <c r="F6" s="124" t="s">
        <v>12</v>
      </c>
      <c r="G6" s="124" t="s">
        <v>177</v>
      </c>
      <c r="H6" s="124" t="s">
        <v>178</v>
      </c>
    </row>
    <row r="7" customFormat="false" ht="33.75" hidden="false" customHeight="true" outlineLevel="0" collapsed="false">
      <c r="A7" s="69"/>
      <c r="B7" s="125" t="s">
        <v>179</v>
      </c>
      <c r="C7" s="126" t="s">
        <v>180</v>
      </c>
      <c r="D7" s="127" t="n">
        <f aca="false">'🗓 Gantt MVP'!$D$5</f>
        <v>46097</v>
      </c>
      <c r="E7" s="128" t="n">
        <v>933</v>
      </c>
      <c r="F7" s="19" t="s">
        <v>181</v>
      </c>
      <c r="G7" s="129" t="s">
        <v>182</v>
      </c>
      <c r="H7" s="36" t="s">
        <v>183</v>
      </c>
    </row>
    <row r="8" customFormat="false" ht="33.75" hidden="false" customHeight="true" outlineLevel="0" collapsed="false">
      <c r="A8" s="119"/>
      <c r="B8" s="130" t="s">
        <v>184</v>
      </c>
      <c r="C8" s="131" t="s">
        <v>185</v>
      </c>
      <c r="D8" s="132" t="n">
        <f aca="false">'🗓 Gantt MVP'!$D$5+28</f>
        <v>46125</v>
      </c>
      <c r="E8" s="133" t="n">
        <v>933</v>
      </c>
      <c r="F8" s="19" t="s">
        <v>181</v>
      </c>
      <c r="G8" s="134" t="s">
        <v>186</v>
      </c>
      <c r="H8" s="45" t="s">
        <v>187</v>
      </c>
    </row>
    <row r="9" customFormat="false" ht="33.75" hidden="false" customHeight="true" outlineLevel="0" collapsed="false">
      <c r="A9" s="135"/>
      <c r="B9" s="136" t="s">
        <v>188</v>
      </c>
      <c r="C9" s="137" t="s">
        <v>189</v>
      </c>
      <c r="D9" s="138" t="n">
        <f aca="false">'🗓 Gantt MVP'!$D$5+42</f>
        <v>46139</v>
      </c>
      <c r="E9" s="139" t="n">
        <v>934</v>
      </c>
      <c r="F9" s="19" t="s">
        <v>181</v>
      </c>
      <c r="G9" s="140" t="s">
        <v>190</v>
      </c>
      <c r="H9" s="67" t="s">
        <v>191</v>
      </c>
    </row>
    <row r="10" customFormat="false" ht="24" hidden="false" customHeight="true" outlineLevel="0" collapsed="false">
      <c r="A10" s="141" t="s">
        <v>192</v>
      </c>
      <c r="B10" s="141"/>
      <c r="C10" s="141"/>
      <c r="D10" s="141"/>
      <c r="E10" s="142" t="n">
        <f aca="false">SUM(E7:E9)</f>
        <v>2800</v>
      </c>
      <c r="F10" s="135"/>
      <c r="G10" s="135"/>
      <c r="H10" s="135"/>
    </row>
    <row r="12" customFormat="false" ht="27.75" hidden="false" customHeight="true" outlineLevel="0" collapsed="false">
      <c r="A12" s="123" t="s">
        <v>193</v>
      </c>
      <c r="B12" s="123"/>
      <c r="C12" s="123"/>
      <c r="D12" s="123"/>
      <c r="E12" s="123"/>
      <c r="F12" s="123"/>
      <c r="G12" s="123"/>
      <c r="H12" s="123"/>
    </row>
    <row r="13" customFormat="false" ht="27.75" hidden="false" customHeight="true" outlineLevel="0" collapsed="false">
      <c r="A13" s="143"/>
      <c r="B13" s="143" t="s">
        <v>3</v>
      </c>
      <c r="C13" s="143" t="s">
        <v>194</v>
      </c>
      <c r="D13" s="143" t="s">
        <v>195</v>
      </c>
      <c r="E13" s="143" t="s">
        <v>196</v>
      </c>
      <c r="F13" s="143" t="s">
        <v>197</v>
      </c>
      <c r="G13" s="143" t="s">
        <v>198</v>
      </c>
      <c r="H13" s="143" t="s">
        <v>199</v>
      </c>
    </row>
    <row r="14" customFormat="false" ht="21.75" hidden="false" customHeight="true" outlineLevel="0" collapsed="false">
      <c r="A14" s="13"/>
      <c r="B14" s="144" t="s">
        <v>200</v>
      </c>
      <c r="C14" s="145" t="n">
        <v>7</v>
      </c>
      <c r="D14" s="146" t="n">
        <v>0</v>
      </c>
      <c r="E14" s="147" t="n">
        <f aca="false">C14-D14</f>
        <v>7</v>
      </c>
      <c r="F14" s="148" t="n">
        <f aca="false">IFERROR(D14/C14,0)</f>
        <v>0</v>
      </c>
      <c r="G14" s="149" t="n">
        <v>280</v>
      </c>
      <c r="H14" s="149" t="n">
        <f aca="false">D14*40</f>
        <v>0</v>
      </c>
    </row>
    <row r="15" customFormat="false" ht="21.75" hidden="false" customHeight="true" outlineLevel="0" collapsed="false">
      <c r="A15" s="29"/>
      <c r="B15" s="150" t="s">
        <v>201</v>
      </c>
      <c r="C15" s="151" t="n">
        <v>20</v>
      </c>
      <c r="D15" s="146" t="n">
        <v>0</v>
      </c>
      <c r="E15" s="152" t="n">
        <f aca="false">C15-D15</f>
        <v>20</v>
      </c>
      <c r="F15" s="153" t="n">
        <f aca="false">IFERROR(D15/C15,0)</f>
        <v>0</v>
      </c>
      <c r="G15" s="154" t="n">
        <v>800</v>
      </c>
      <c r="H15" s="154" t="n">
        <f aca="false">D15*40</f>
        <v>0</v>
      </c>
    </row>
    <row r="16" customFormat="false" ht="21.75" hidden="false" customHeight="true" outlineLevel="0" collapsed="false">
      <c r="A16" s="40"/>
      <c r="B16" s="155" t="s">
        <v>202</v>
      </c>
      <c r="C16" s="156" t="n">
        <v>28</v>
      </c>
      <c r="D16" s="146" t="n">
        <v>0</v>
      </c>
      <c r="E16" s="157" t="n">
        <f aca="false">C16-D16</f>
        <v>28</v>
      </c>
      <c r="F16" s="158" t="n">
        <f aca="false">IFERROR(D16/C16,0)</f>
        <v>0</v>
      </c>
      <c r="G16" s="159" t="n">
        <v>1120</v>
      </c>
      <c r="H16" s="159" t="n">
        <f aca="false">D16*40</f>
        <v>0</v>
      </c>
    </row>
    <row r="17" customFormat="false" ht="21.75" hidden="false" customHeight="true" outlineLevel="0" collapsed="false">
      <c r="A17" s="50"/>
      <c r="B17" s="160" t="s">
        <v>203</v>
      </c>
      <c r="C17" s="161" t="n">
        <v>15</v>
      </c>
      <c r="D17" s="146" t="n">
        <v>0</v>
      </c>
      <c r="E17" s="162" t="n">
        <f aca="false">C17-D17</f>
        <v>15</v>
      </c>
      <c r="F17" s="163" t="n">
        <f aca="false">IFERROR(D17/C17,0)</f>
        <v>0</v>
      </c>
      <c r="G17" s="164" t="n">
        <v>600</v>
      </c>
      <c r="H17" s="164" t="n">
        <f aca="false">D17*40</f>
        <v>0</v>
      </c>
    </row>
    <row r="18" customFormat="false" ht="21.75" hidden="false" customHeight="true" outlineLevel="0" collapsed="false">
      <c r="A18" s="59"/>
      <c r="B18" s="165" t="s">
        <v>204</v>
      </c>
      <c r="C18" s="166" t="n">
        <v>7</v>
      </c>
      <c r="D18" s="146" t="n">
        <v>0</v>
      </c>
      <c r="E18" s="167" t="n">
        <f aca="false">C18-D18</f>
        <v>7</v>
      </c>
      <c r="F18" s="168" t="n">
        <f aca="false">IFERROR(D18/C18,0)</f>
        <v>0</v>
      </c>
      <c r="G18" s="169" t="n">
        <v>280</v>
      </c>
      <c r="H18" s="169" t="n">
        <f aca="false">D18*40</f>
        <v>0</v>
      </c>
    </row>
    <row r="19" customFormat="false" ht="24" hidden="false" customHeight="true" outlineLevel="0" collapsed="false">
      <c r="A19" s="170"/>
      <c r="B19" s="171" t="s">
        <v>205</v>
      </c>
      <c r="C19" s="172" t="n">
        <f aca="false">SUM(C14:C18)</f>
        <v>77</v>
      </c>
      <c r="D19" s="172" t="n">
        <f aca="false">SUM(D14:D18)</f>
        <v>0</v>
      </c>
      <c r="E19" s="172" t="n">
        <f aca="false">C19-D19</f>
        <v>77</v>
      </c>
      <c r="F19" s="173" t="n">
        <f aca="false">IFERROR(D19/C19,0)</f>
        <v>0</v>
      </c>
      <c r="G19" s="174" t="n">
        <f aca="false">SUM(G14:G18)</f>
        <v>3080</v>
      </c>
      <c r="H19" s="174" t="n">
        <f aca="false">D19*40</f>
        <v>0</v>
      </c>
    </row>
    <row r="21" customFormat="false" ht="27.75" hidden="false" customHeight="true" outlineLevel="0" collapsed="false">
      <c r="A21" s="123" t="s">
        <v>206</v>
      </c>
      <c r="B21" s="123"/>
      <c r="C21" s="123"/>
      <c r="D21" s="123"/>
      <c r="E21" s="123"/>
      <c r="F21" s="123"/>
      <c r="G21" s="123"/>
      <c r="H21" s="123"/>
    </row>
    <row r="22" customFormat="false" ht="21.75" hidden="false" customHeight="true" outlineLevel="0" collapsed="false">
      <c r="B22" s="175" t="s">
        <v>207</v>
      </c>
      <c r="D22" s="175" t="s">
        <v>208</v>
      </c>
      <c r="F22" s="175" t="s">
        <v>209</v>
      </c>
    </row>
    <row r="23" customFormat="false" ht="21.75" hidden="false" customHeight="true" outlineLevel="0" collapsed="false">
      <c r="A23" s="59"/>
      <c r="B23" s="176" t="s">
        <v>210</v>
      </c>
      <c r="C23" s="176"/>
      <c r="D23" s="177" t="s">
        <v>211</v>
      </c>
      <c r="E23" s="178" t="s">
        <v>212</v>
      </c>
      <c r="F23" s="178"/>
      <c r="G23" s="178"/>
      <c r="H23" s="178"/>
    </row>
    <row r="24" customFormat="false" ht="21.75" hidden="false" customHeight="true" outlineLevel="0" collapsed="false">
      <c r="A24" s="59"/>
      <c r="B24" s="179" t="s">
        <v>213</v>
      </c>
      <c r="C24" s="179"/>
      <c r="D24" s="180" t="s">
        <v>214</v>
      </c>
      <c r="E24" s="181" t="s">
        <v>215</v>
      </c>
      <c r="F24" s="181"/>
      <c r="G24" s="181"/>
      <c r="H24" s="181"/>
    </row>
    <row r="25" customFormat="false" ht="21.75" hidden="false" customHeight="true" outlineLevel="0" collapsed="false">
      <c r="A25" s="59"/>
      <c r="B25" s="176" t="s">
        <v>216</v>
      </c>
      <c r="C25" s="176"/>
      <c r="D25" s="177" t="s">
        <v>211</v>
      </c>
      <c r="E25" s="178" t="s">
        <v>217</v>
      </c>
      <c r="F25" s="178"/>
      <c r="G25" s="178"/>
      <c r="H25" s="178"/>
    </row>
    <row r="26" customFormat="false" ht="21.75" hidden="false" customHeight="true" outlineLevel="0" collapsed="false">
      <c r="A26" s="59"/>
      <c r="B26" s="179" t="s">
        <v>218</v>
      </c>
      <c r="C26" s="179"/>
      <c r="D26" s="180" t="s">
        <v>219</v>
      </c>
      <c r="E26" s="181" t="s">
        <v>220</v>
      </c>
      <c r="F26" s="181"/>
      <c r="G26" s="181"/>
      <c r="H26" s="181"/>
    </row>
    <row r="27" customFormat="false" ht="21.75" hidden="false" customHeight="true" outlineLevel="0" collapsed="false">
      <c r="A27" s="59"/>
      <c r="B27" s="176" t="s">
        <v>221</v>
      </c>
      <c r="C27" s="176"/>
      <c r="D27" s="177" t="s">
        <v>211</v>
      </c>
      <c r="E27" s="178" t="s">
        <v>222</v>
      </c>
      <c r="F27" s="178"/>
      <c r="G27" s="178"/>
      <c r="H27" s="178"/>
    </row>
    <row r="29" customFormat="false" ht="27.75" hidden="false" customHeight="true" outlineLevel="0" collapsed="false">
      <c r="A29" s="182" t="s">
        <v>223</v>
      </c>
      <c r="B29" s="182"/>
      <c r="C29" s="182"/>
      <c r="D29" s="182"/>
      <c r="E29" s="182"/>
      <c r="F29" s="182"/>
      <c r="G29" s="182"/>
      <c r="H29" s="182"/>
    </row>
    <row r="30" customFormat="false" ht="21.75" hidden="false" customHeight="true" outlineLevel="0" collapsed="false">
      <c r="B30" s="183" t="s">
        <v>224</v>
      </c>
      <c r="D30" s="183" t="s">
        <v>225</v>
      </c>
      <c r="F30" s="183" t="s">
        <v>226</v>
      </c>
    </row>
    <row r="31" customFormat="false" ht="33.75" hidden="false" customHeight="true" outlineLevel="0" collapsed="false">
      <c r="A31" s="29"/>
      <c r="B31" s="184" t="s">
        <v>227</v>
      </c>
      <c r="C31" s="184"/>
      <c r="D31" s="185" t="s">
        <v>228</v>
      </c>
      <c r="E31" s="185"/>
      <c r="F31" s="186" t="s">
        <v>229</v>
      </c>
      <c r="G31" s="186"/>
      <c r="H31" s="186"/>
    </row>
    <row r="32" customFormat="false" ht="33.75" hidden="false" customHeight="true" outlineLevel="0" collapsed="false">
      <c r="A32" s="29"/>
      <c r="B32" s="187" t="s">
        <v>230</v>
      </c>
      <c r="C32" s="187"/>
      <c r="D32" s="188" t="s">
        <v>231</v>
      </c>
      <c r="E32" s="188"/>
      <c r="F32" s="189" t="s">
        <v>232</v>
      </c>
      <c r="G32" s="189"/>
      <c r="H32" s="189"/>
    </row>
    <row r="33" customFormat="false" ht="33.75" hidden="false" customHeight="true" outlineLevel="0" collapsed="false">
      <c r="A33" s="29"/>
      <c r="B33" s="184" t="s">
        <v>233</v>
      </c>
      <c r="C33" s="184"/>
      <c r="D33" s="185" t="s">
        <v>234</v>
      </c>
      <c r="E33" s="185"/>
      <c r="F33" s="186" t="s">
        <v>235</v>
      </c>
      <c r="G33" s="186"/>
      <c r="H33" s="186"/>
    </row>
    <row r="34" customFormat="false" ht="33.75" hidden="false" customHeight="true" outlineLevel="0" collapsed="false">
      <c r="A34" s="29"/>
      <c r="B34" s="187" t="s">
        <v>236</v>
      </c>
      <c r="C34" s="187"/>
      <c r="D34" s="188" t="s">
        <v>237</v>
      </c>
      <c r="E34" s="188"/>
      <c r="F34" s="189" t="s">
        <v>238</v>
      </c>
      <c r="G34" s="189"/>
      <c r="H34" s="189"/>
    </row>
  </sheetData>
  <mergeCells count="30">
    <mergeCell ref="A2:H2"/>
    <mergeCell ref="A3:H3"/>
    <mergeCell ref="A4:H4"/>
    <mergeCell ref="A5:H5"/>
    <mergeCell ref="A10:D10"/>
    <mergeCell ref="A12:H12"/>
    <mergeCell ref="A21:H21"/>
    <mergeCell ref="B23:C23"/>
    <mergeCell ref="E23:H23"/>
    <mergeCell ref="B24:C24"/>
    <mergeCell ref="E24:H24"/>
    <mergeCell ref="B25:C25"/>
    <mergeCell ref="E25:H25"/>
    <mergeCell ref="B26:C26"/>
    <mergeCell ref="E26:H26"/>
    <mergeCell ref="B27:C27"/>
    <mergeCell ref="E27:H27"/>
    <mergeCell ref="A29:H29"/>
    <mergeCell ref="B31:C31"/>
    <mergeCell ref="D31:E31"/>
    <mergeCell ref="F31:H31"/>
    <mergeCell ref="B32:C32"/>
    <mergeCell ref="D32:E32"/>
    <mergeCell ref="F32:H32"/>
    <mergeCell ref="B33:C33"/>
    <mergeCell ref="D33:E33"/>
    <mergeCell ref="F33:H33"/>
    <mergeCell ref="B34:C34"/>
    <mergeCell ref="D34:E34"/>
    <mergeCell ref="F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2026-03-05T11:46:27Z</dcterms:created>
  <dc:creator>openpyxl</dc:creator>
  <dc:description/>
  <dc:language>en-US</dc:language>
  <cp:lastModifiedBy/>
  <dcterms:modified xsi:type="dcterms:W3CDTF">2026-03-05T11:46:27Z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